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1">
      <go:sheetsCustomData xmlns:go="http://customooxmlschemas.google.com/" r:id="rId8" roundtripDataSignature="AMtx7mgd6Vrnii3733upRnJpBbZGFOxCOA=="/>
    </ext>
  </extLst>
</workbook>
</file>

<file path=xl/sharedStrings.xml><?xml version="1.0" encoding="utf-8"?>
<sst xmlns="http://schemas.openxmlformats.org/spreadsheetml/2006/main" count="1299" uniqueCount="77">
  <si>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</si>
  <si>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</si>
  <si>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</si>
  <si>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</si>
  <si>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</si>
  <si>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</si>
  <si>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</si>
  <si>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</si>
  <si>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</si>
  <si>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</si>
  <si>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</si>
  <si>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</si>
  <si>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</si>
  <si>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</si>
  <si>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</si>
  <si>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</si>
  <si>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</si>
  <si>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</si>
  <si>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</si>
  <si>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</si>
  <si>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</si>
  <si>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</si>
  <si>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</si>
  <si>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</si>
  <si>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</si>
  <si>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</si>
  <si>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</si>
  <si>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</si>
  <si>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</si>
  <si>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August</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</si>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</sst>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right style="dotted">
        <color rgb="FF000000"/>
      </right>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Alignment="1" applyBorder="1" applyFont="1">
      <alignment horizontal="right" vertical="bottom"/>
    </xf>
    <xf borderId="18" fillId="0" fontId="1" numFmtId="0" xfId="0" applyAlignment="1" applyBorder="1" applyFont="1">
      <alignment horizontal="right" vertical="bottom"/>
    </xf>
    <xf borderId="16" fillId="0" fontId="1" numFmtId="0" xfId="0" applyAlignment="1" applyBorder="1" applyFont="1">
      <alignment horizontal="right" vertical="bottom"/>
    </xf>
    <xf borderId="18" fillId="0" fontId="1" numFmtId="0" xfId="0" applyBorder="1" applyFont="1"/>
    <xf borderId="18" fillId="0" fontId="1" numFmtId="14" xfId="0" applyBorder="1" applyFont="1" applyNumberFormat="1"/>
    <xf borderId="16" fillId="0" fontId="4" numFmtId="0" xfId="0" applyBorder="1" applyFont="1"/>
    <xf borderId="0" fillId="0" fontId="1"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1.0</v>
      </c>
      <c r="H2" s="13">
        <v>0.0</v>
      </c>
      <c r="I2" s="13">
        <v>0.0</v>
      </c>
      <c r="J2" s="13">
        <v>0.0</v>
      </c>
      <c r="K2" s="13">
        <v>0.0</v>
      </c>
      <c r="L2" s="13">
        <v>0.0</v>
      </c>
      <c r="M2" s="13">
        <v>0.0</v>
      </c>
      <c r="N2" s="15">
        <v>0.0</v>
      </c>
      <c r="O2" s="13">
        <v>0.0</v>
      </c>
      <c r="P2" s="12">
        <v>0.1</v>
      </c>
      <c r="Q2" s="13">
        <v>0.0</v>
      </c>
      <c r="R2" s="13">
        <v>0.0</v>
      </c>
      <c r="S2" s="13">
        <v>0.0</v>
      </c>
      <c r="T2" s="13">
        <v>0.0</v>
      </c>
      <c r="U2" s="12">
        <v>0.0</v>
      </c>
      <c r="V2" s="13">
        <v>0.0</v>
      </c>
      <c r="W2" s="15">
        <v>0.0</v>
      </c>
      <c r="X2" s="13">
        <v>36.0087783</v>
      </c>
      <c r="Y2" s="13">
        <v>-79.01783</v>
      </c>
      <c r="Z2" s="13" t="s">
        <v>29</v>
      </c>
      <c r="AA2" s="16">
        <v>44782.0</v>
      </c>
    </row>
    <row r="3" ht="15.75" customHeight="1">
      <c r="A3" s="12">
        <v>426.0</v>
      </c>
      <c r="B3" s="12" t="s">
        <v>27</v>
      </c>
      <c r="C3" s="12">
        <v>1.0</v>
      </c>
      <c r="D3" s="12">
        <v>2.0</v>
      </c>
      <c r="E3" s="12" t="s">
        <v>28</v>
      </c>
      <c r="F3" s="17">
        <v>0.0</v>
      </c>
      <c r="G3" s="18">
        <v>1.0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44782.0</v>
      </c>
    </row>
    <row r="4" ht="15.75" customHeight="1">
      <c r="A4" s="12">
        <v>426.0</v>
      </c>
      <c r="B4" s="12" t="s">
        <v>27</v>
      </c>
      <c r="C4" s="12">
        <v>1.0</v>
      </c>
      <c r="D4" s="12">
        <v>3.0</v>
      </c>
      <c r="E4" s="12" t="s">
        <v>28</v>
      </c>
      <c r="F4" s="17">
        <v>1.0</v>
      </c>
      <c r="G4" s="12">
        <v>1.0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44782.0</v>
      </c>
    </row>
    <row r="5" ht="15.75" customHeight="1">
      <c r="A5" s="12">
        <v>426.0</v>
      </c>
      <c r="B5" s="12" t="s">
        <v>27</v>
      </c>
      <c r="C5" s="12">
        <v>1.0</v>
      </c>
      <c r="D5" s="12">
        <v>4.0</v>
      </c>
      <c r="E5" s="12" t="s">
        <v>28</v>
      </c>
      <c r="F5" s="17">
        <v>1.0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44782.0</v>
      </c>
    </row>
    <row r="6" ht="15.75" customHeight="1">
      <c r="A6" s="12">
        <v>426.0</v>
      </c>
      <c r="B6" s="12" t="s">
        <v>27</v>
      </c>
      <c r="C6" s="12">
        <v>1.0</v>
      </c>
      <c r="D6" s="12">
        <v>5.0</v>
      </c>
      <c r="E6" s="12" t="s">
        <v>28</v>
      </c>
      <c r="F6" s="17">
        <v>1.0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44782.0</v>
      </c>
    </row>
    <row r="7" ht="15.75" customHeight="1">
      <c r="A7" s="12">
        <v>426.0</v>
      </c>
      <c r="B7" s="12" t="s">
        <v>27</v>
      </c>
      <c r="C7" s="12">
        <v>1.0</v>
      </c>
      <c r="D7" s="12">
        <v>6.0</v>
      </c>
      <c r="E7" s="12" t="s">
        <v>28</v>
      </c>
      <c r="F7" s="17">
        <v>1.0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44782.0</v>
      </c>
    </row>
    <row r="8" ht="15.75" customHeight="1">
      <c r="A8" s="12">
        <v>426.0</v>
      </c>
      <c r="B8" s="12" t="s">
        <v>27</v>
      </c>
      <c r="C8" s="12">
        <v>1.0</v>
      </c>
      <c r="D8" s="12">
        <v>7.0</v>
      </c>
      <c r="E8" s="12" t="s">
        <v>28</v>
      </c>
      <c r="F8" s="17">
        <v>1.0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44782.0</v>
      </c>
    </row>
    <row r="9" ht="15.75" customHeight="1">
      <c r="A9" s="12">
        <v>426.0</v>
      </c>
      <c r="B9" s="12" t="s">
        <v>27</v>
      </c>
      <c r="C9" s="12">
        <v>1.0</v>
      </c>
      <c r="D9" s="12">
        <v>8.0</v>
      </c>
      <c r="E9" s="12" t="s">
        <v>28</v>
      </c>
      <c r="F9" s="17">
        <v>1.0</v>
      </c>
      <c r="G9" s="12">
        <v>1.0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44782.0</v>
      </c>
    </row>
    <row r="10" ht="15.75" customHeight="1">
      <c r="A10" s="12">
        <v>426.0</v>
      </c>
      <c r="B10" s="12" t="s">
        <v>27</v>
      </c>
      <c r="C10" s="12">
        <v>1.0</v>
      </c>
      <c r="D10" s="12">
        <v>9.0</v>
      </c>
      <c r="E10" s="12" t="s">
        <v>28</v>
      </c>
      <c r="F10" s="17">
        <v>1.0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44782.0</v>
      </c>
    </row>
    <row r="11" ht="15.75" customHeight="1">
      <c r="A11" s="12">
        <v>426.0</v>
      </c>
      <c r="B11" s="12" t="s">
        <v>27</v>
      </c>
      <c r="C11" s="12">
        <v>1.0</v>
      </c>
      <c r="D11" s="12">
        <v>10.0</v>
      </c>
      <c r="E11" s="12" t="s">
        <v>28</v>
      </c>
      <c r="F11" s="21">
        <v>1.0</v>
      </c>
      <c r="G11" s="12">
        <v>1.0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44782.0</v>
      </c>
    </row>
    <row r="12" ht="15.75" customHeight="1">
      <c r="A12" s="22">
        <v>426.0</v>
      </c>
      <c r="B12" s="12" t="s">
        <v>27</v>
      </c>
      <c r="C12" s="12">
        <v>1.0</v>
      </c>
      <c r="D12" s="12" t="s">
        <v>28</v>
      </c>
      <c r="E12" s="12">
        <v>16.0</v>
      </c>
      <c r="F12" s="23">
        <f t="shared" ref="F12:N12" si="1">AVERAGE(F2:F11)</f>
        <v>0.8</v>
      </c>
      <c r="G12" s="24">
        <f t="shared" si="1"/>
        <v>0.5</v>
      </c>
      <c r="H12" s="24">
        <f t="shared" si="1"/>
        <v>0</v>
      </c>
      <c r="I12" s="24">
        <f t="shared" si="1"/>
        <v>0</v>
      </c>
      <c r="J12" s="24">
        <f t="shared" si="1"/>
        <v>0</v>
      </c>
      <c r="K12" s="24">
        <f t="shared" si="1"/>
        <v>0</v>
      </c>
      <c r="L12" s="24">
        <f t="shared" si="1"/>
        <v>0</v>
      </c>
      <c r="M12" s="24">
        <f t="shared" si="1"/>
        <v>0</v>
      </c>
      <c r="N12" s="25">
        <f t="shared" si="1"/>
        <v>0</v>
      </c>
      <c r="O12" s="12">
        <v>0.0</v>
      </c>
      <c r="P12" s="12">
        <v>0.0</v>
      </c>
      <c r="Q12" s="12">
        <v>0.0</v>
      </c>
      <c r="R12" s="12">
        <v>0.0</v>
      </c>
      <c r="S12" s="12">
        <v>0.0</v>
      </c>
      <c r="T12" s="12">
        <v>0.0</v>
      </c>
      <c r="U12" s="12">
        <v>0.0</v>
      </c>
      <c r="V12" s="12">
        <v>0.0</v>
      </c>
      <c r="W12" s="19">
        <v>0.0</v>
      </c>
      <c r="X12" s="12">
        <v>36.0087783</v>
      </c>
      <c r="Y12" s="12">
        <v>-79.01783</v>
      </c>
      <c r="Z12" s="12" t="s">
        <v>29</v>
      </c>
      <c r="AA12" s="20">
        <v>44782.0</v>
      </c>
    </row>
    <row r="13" ht="15.75" customHeight="1">
      <c r="A13" s="12">
        <v>432.0</v>
      </c>
      <c r="B13" s="13" t="s">
        <v>27</v>
      </c>
      <c r="C13" s="13">
        <v>2.0</v>
      </c>
      <c r="D13" s="13">
        <v>1.0</v>
      </c>
      <c r="E13" s="13" t="s">
        <v>28</v>
      </c>
      <c r="F13" s="14">
        <v>0.0</v>
      </c>
      <c r="G13" s="13">
        <v>1.0</v>
      </c>
      <c r="H13" s="13">
        <v>0.0</v>
      </c>
      <c r="I13" s="13">
        <v>0.0</v>
      </c>
      <c r="J13" s="13">
        <v>0.0</v>
      </c>
      <c r="K13" s="13">
        <v>0.0</v>
      </c>
      <c r="L13" s="13">
        <v>0.0</v>
      </c>
      <c r="M13" s="13">
        <v>0.0</v>
      </c>
      <c r="N13" s="15">
        <v>0.0</v>
      </c>
      <c r="O13" s="13">
        <v>0.0</v>
      </c>
      <c r="P13" s="13">
        <v>0.1</v>
      </c>
      <c r="Q13" s="13">
        <v>0.0</v>
      </c>
      <c r="R13" s="13">
        <v>0.0</v>
      </c>
      <c r="S13" s="13">
        <v>0.0</v>
      </c>
      <c r="T13" s="13">
        <v>0.0</v>
      </c>
      <c r="U13" s="13">
        <v>0.0</v>
      </c>
      <c r="V13" s="13">
        <v>0.0</v>
      </c>
      <c r="W13" s="15">
        <v>0.0</v>
      </c>
      <c r="X13" s="13">
        <v>36.008558</v>
      </c>
      <c r="Y13" s="13">
        <v>-79.017788</v>
      </c>
      <c r="Z13" s="13" t="s">
        <v>29</v>
      </c>
      <c r="AA13" s="16">
        <v>44782.0</v>
      </c>
    </row>
    <row r="14" ht="15.75" customHeight="1">
      <c r="A14" s="12">
        <v>432.0</v>
      </c>
      <c r="B14" s="12" t="s">
        <v>27</v>
      </c>
      <c r="C14" s="12">
        <v>2.0</v>
      </c>
      <c r="D14" s="12">
        <v>2.0</v>
      </c>
      <c r="E14" s="12" t="s">
        <v>28</v>
      </c>
      <c r="F14" s="17">
        <v>0.0</v>
      </c>
      <c r="G14" s="12">
        <v>1.0</v>
      </c>
      <c r="H14" s="12">
        <v>0.0</v>
      </c>
      <c r="I14" s="12">
        <v>0.0</v>
      </c>
      <c r="J14" s="12">
        <v>0.0</v>
      </c>
      <c r="K14" s="12">
        <v>1.0</v>
      </c>
      <c r="L14" s="12">
        <v>1.0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44782.0</v>
      </c>
    </row>
    <row r="15" ht="15.75" customHeight="1">
      <c r="A15" s="12">
        <v>432.0</v>
      </c>
      <c r="B15" s="12" t="s">
        <v>27</v>
      </c>
      <c r="C15" s="12">
        <v>2.0</v>
      </c>
      <c r="D15" s="12">
        <v>3.0</v>
      </c>
      <c r="E15" s="12" t="s">
        <v>28</v>
      </c>
      <c r="F15" s="17">
        <v>0.0</v>
      </c>
      <c r="G15" s="12">
        <v>1.0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44782.0</v>
      </c>
    </row>
    <row r="16" ht="15.75" customHeight="1">
      <c r="A16" s="12">
        <v>432.0</v>
      </c>
      <c r="B16" s="12" t="s">
        <v>27</v>
      </c>
      <c r="C16" s="12">
        <v>2.0</v>
      </c>
      <c r="D16" s="12">
        <v>4.0</v>
      </c>
      <c r="E16" s="12" t="s">
        <v>28</v>
      </c>
      <c r="F16" s="17">
        <v>0.0</v>
      </c>
      <c r="G16" s="12">
        <v>0.0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44782.0</v>
      </c>
    </row>
    <row r="17" ht="15.75" customHeight="1">
      <c r="A17" s="12">
        <v>432.0</v>
      </c>
      <c r="B17" s="12" t="s">
        <v>27</v>
      </c>
      <c r="C17" s="12">
        <v>2.0</v>
      </c>
      <c r="D17" s="12">
        <v>5.0</v>
      </c>
      <c r="E17" s="12" t="s">
        <v>28</v>
      </c>
      <c r="F17" s="17">
        <v>0.0</v>
      </c>
      <c r="G17" s="12">
        <v>1.0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44782.0</v>
      </c>
    </row>
    <row r="18" ht="15.75" customHeight="1">
      <c r="A18" s="12">
        <v>432.0</v>
      </c>
      <c r="B18" s="12" t="s">
        <v>27</v>
      </c>
      <c r="C18" s="12">
        <v>2.0</v>
      </c>
      <c r="D18" s="12">
        <v>6.0</v>
      </c>
      <c r="E18" s="12" t="s">
        <v>28</v>
      </c>
      <c r="F18" s="17">
        <v>0.0</v>
      </c>
      <c r="G18" s="12">
        <v>0.0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44782.0</v>
      </c>
    </row>
    <row r="19" ht="15.75" customHeight="1">
      <c r="A19" s="12">
        <v>432.0</v>
      </c>
      <c r="B19" s="12" t="s">
        <v>27</v>
      </c>
      <c r="C19" s="12">
        <v>2.0</v>
      </c>
      <c r="D19" s="12">
        <v>7.0</v>
      </c>
      <c r="E19" s="12" t="s">
        <v>28</v>
      </c>
      <c r="F19" s="17">
        <v>0.0</v>
      </c>
      <c r="G19" s="12">
        <v>1.0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44782.0</v>
      </c>
    </row>
    <row r="20" ht="15.75" customHeight="1">
      <c r="A20" s="12">
        <v>432.0</v>
      </c>
      <c r="B20" s="12" t="s">
        <v>27</v>
      </c>
      <c r="C20" s="12">
        <v>2.0</v>
      </c>
      <c r="D20" s="12">
        <v>8.0</v>
      </c>
      <c r="E20" s="12" t="s">
        <v>28</v>
      </c>
      <c r="F20" s="17">
        <v>1.0</v>
      </c>
      <c r="G20" s="12">
        <v>1.0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44782.0</v>
      </c>
    </row>
    <row r="21" ht="15.75" customHeight="1">
      <c r="A21" s="12">
        <v>432.0</v>
      </c>
      <c r="B21" s="12" t="s">
        <v>27</v>
      </c>
      <c r="C21" s="12">
        <v>2.0</v>
      </c>
      <c r="D21" s="12">
        <v>9.0</v>
      </c>
      <c r="E21" s="12" t="s">
        <v>28</v>
      </c>
      <c r="F21" s="17">
        <v>0.0</v>
      </c>
      <c r="G21" s="12">
        <v>0.0</v>
      </c>
      <c r="H21" s="12">
        <v>0.0</v>
      </c>
      <c r="I21" s="12">
        <v>0.0</v>
      </c>
      <c r="J21" s="12">
        <v>0.0</v>
      </c>
      <c r="K21" s="12">
        <v>1.0</v>
      </c>
      <c r="L21" s="12">
        <v>0.0</v>
      </c>
      <c r="M21" s="12">
        <v>0.0</v>
      </c>
      <c r="N21" s="19">
        <v>1.0</v>
      </c>
      <c r="O21" s="12">
        <v>0.0</v>
      </c>
      <c r="P21" s="12">
        <v>0.0</v>
      </c>
      <c r="Q21" s="12">
        <v>0.0</v>
      </c>
      <c r="R21" s="12">
        <v>0.0</v>
      </c>
      <c r="S21" s="12">
        <v>0.0</v>
      </c>
      <c r="T21" s="12">
        <v>0.0</v>
      </c>
      <c r="U21" s="12">
        <v>0.0</v>
      </c>
      <c r="V21" s="12">
        <v>0.0</v>
      </c>
      <c r="W21" s="19">
        <v>0.0</v>
      </c>
      <c r="X21" s="12">
        <v>36.008558</v>
      </c>
      <c r="Y21" s="12">
        <v>-79.017788</v>
      </c>
      <c r="Z21" s="12" t="s">
        <v>29</v>
      </c>
      <c r="AA21" s="20">
        <v>44782.0</v>
      </c>
    </row>
    <row r="22" ht="15.75" customHeight="1">
      <c r="A22" s="12">
        <v>432.0</v>
      </c>
      <c r="B22" s="12" t="s">
        <v>27</v>
      </c>
      <c r="C22" s="12">
        <v>2.0</v>
      </c>
      <c r="D22" s="12">
        <v>10.0</v>
      </c>
      <c r="E22" s="12" t="s">
        <v>28</v>
      </c>
      <c r="F22" s="21">
        <v>0.0</v>
      </c>
      <c r="G22" s="12">
        <v>1.0</v>
      </c>
      <c r="H22" s="12">
        <v>0.0</v>
      </c>
      <c r="I22" s="12">
        <v>0.0</v>
      </c>
      <c r="J22" s="12">
        <v>0.0</v>
      </c>
      <c r="K22" s="12">
        <v>0.0</v>
      </c>
      <c r="L22" s="12">
        <v>0.0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44782.0</v>
      </c>
    </row>
    <row r="23" ht="15.75" customHeight="1">
      <c r="A23" s="22">
        <v>432.0</v>
      </c>
      <c r="B23" s="12" t="s">
        <v>27</v>
      </c>
      <c r="C23" s="12">
        <v>2.0</v>
      </c>
      <c r="D23" s="12" t="s">
        <v>28</v>
      </c>
      <c r="E23" s="12">
        <v>4.0</v>
      </c>
      <c r="F23" s="23">
        <f t="shared" ref="F23:N23" si="2">AVERAGE(F13:F22)</f>
        <v>0.1</v>
      </c>
      <c r="G23" s="24">
        <f t="shared" si="2"/>
        <v>0.7</v>
      </c>
      <c r="H23" s="24">
        <f t="shared" si="2"/>
        <v>0</v>
      </c>
      <c r="I23" s="24">
        <f t="shared" si="2"/>
        <v>0</v>
      </c>
      <c r="J23" s="24">
        <f t="shared" si="2"/>
        <v>0</v>
      </c>
      <c r="K23" s="24">
        <f t="shared" si="2"/>
        <v>0.2</v>
      </c>
      <c r="L23" s="24">
        <f t="shared" si="2"/>
        <v>0.1</v>
      </c>
      <c r="M23" s="24">
        <f t="shared" si="2"/>
        <v>0</v>
      </c>
      <c r="N23" s="25">
        <f t="shared" si="2"/>
        <v>0.1</v>
      </c>
      <c r="O23" s="12">
        <v>0.0</v>
      </c>
      <c r="P23" s="12">
        <v>0.0</v>
      </c>
      <c r="Q23" s="12">
        <v>0.0</v>
      </c>
      <c r="R23" s="12">
        <v>0.0</v>
      </c>
      <c r="S23" s="12">
        <v>0.0</v>
      </c>
      <c r="T23" s="12">
        <v>0.0</v>
      </c>
      <c r="U23" s="12">
        <v>0.0</v>
      </c>
      <c r="V23" s="12">
        <v>0.0</v>
      </c>
      <c r="W23" s="19">
        <v>0.0</v>
      </c>
      <c r="X23" s="12">
        <v>36.008558</v>
      </c>
      <c r="Y23" s="12">
        <v>-79.017788</v>
      </c>
      <c r="Z23" s="12" t="s">
        <v>29</v>
      </c>
      <c r="AA23" s="20">
        <v>44782.0</v>
      </c>
    </row>
    <row r="24" ht="15.75" customHeight="1">
      <c r="A24" s="12">
        <v>436.0</v>
      </c>
      <c r="B24" s="13" t="s">
        <v>27</v>
      </c>
      <c r="C24" s="13">
        <v>3.0</v>
      </c>
      <c r="D24" s="13">
        <v>1.0</v>
      </c>
      <c r="E24" s="13" t="s">
        <v>28</v>
      </c>
      <c r="F24" s="14">
        <v>0.0</v>
      </c>
      <c r="G24" s="13">
        <v>1.0</v>
      </c>
      <c r="H24" s="13">
        <v>0.0</v>
      </c>
      <c r="I24" s="13">
        <v>0.0</v>
      </c>
      <c r="J24" s="13">
        <v>0.0</v>
      </c>
      <c r="K24" s="13">
        <v>0.0</v>
      </c>
      <c r="L24" s="13">
        <v>0.0</v>
      </c>
      <c r="M24" s="13">
        <v>0.0</v>
      </c>
      <c r="N24" s="15">
        <v>0.0</v>
      </c>
      <c r="O24" s="13">
        <v>0.0</v>
      </c>
      <c r="P24" s="13">
        <v>0.5</v>
      </c>
      <c r="Q24" s="13">
        <v>0.0</v>
      </c>
      <c r="R24" s="13">
        <v>0.0</v>
      </c>
      <c r="S24" s="13">
        <v>0.0</v>
      </c>
      <c r="T24" s="13">
        <v>0.0</v>
      </c>
      <c r="U24" s="13">
        <v>0.0</v>
      </c>
      <c r="V24" s="13">
        <v>0.0</v>
      </c>
      <c r="W24" s="15">
        <v>0.0</v>
      </c>
      <c r="X24" s="13">
        <v>36.008488</v>
      </c>
      <c r="Y24" s="13">
        <v>-79.017933</v>
      </c>
      <c r="Z24" s="13" t="s">
        <v>29</v>
      </c>
      <c r="AA24" s="16">
        <v>44782.0</v>
      </c>
    </row>
    <row r="25" ht="15.75" customHeight="1">
      <c r="A25" s="12">
        <v>436.0</v>
      </c>
      <c r="B25" s="12" t="s">
        <v>27</v>
      </c>
      <c r="C25" s="12">
        <v>3.0</v>
      </c>
      <c r="D25" s="12">
        <v>2.0</v>
      </c>
      <c r="E25" s="12" t="s">
        <v>28</v>
      </c>
      <c r="F25" s="17">
        <v>0.0</v>
      </c>
      <c r="G25" s="12">
        <v>1.0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44782.0</v>
      </c>
    </row>
    <row r="26" ht="15.75" customHeight="1">
      <c r="A26" s="12">
        <v>436.0</v>
      </c>
      <c r="B26" s="12" t="s">
        <v>27</v>
      </c>
      <c r="C26" s="12">
        <v>3.0</v>
      </c>
      <c r="D26" s="12">
        <v>3.0</v>
      </c>
      <c r="E26" s="12" t="s">
        <v>28</v>
      </c>
      <c r="F26" s="17">
        <v>0.0</v>
      </c>
      <c r="G26" s="12">
        <v>1.0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44782.0</v>
      </c>
    </row>
    <row r="27" ht="15.75" customHeight="1">
      <c r="A27" s="12">
        <v>436.0</v>
      </c>
      <c r="B27" s="12" t="s">
        <v>27</v>
      </c>
      <c r="C27" s="12">
        <v>3.0</v>
      </c>
      <c r="D27" s="12">
        <v>4.0</v>
      </c>
      <c r="E27" s="12" t="s">
        <v>28</v>
      </c>
      <c r="F27" s="17">
        <v>0.0</v>
      </c>
      <c r="G27" s="12">
        <v>0.0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44782.0</v>
      </c>
    </row>
    <row r="28" ht="15.75" customHeight="1">
      <c r="A28" s="12">
        <v>436.0</v>
      </c>
      <c r="B28" s="12" t="s">
        <v>27</v>
      </c>
      <c r="C28" s="12">
        <v>3.0</v>
      </c>
      <c r="D28" s="12">
        <v>5.0</v>
      </c>
      <c r="E28" s="12" t="s">
        <v>28</v>
      </c>
      <c r="F28" s="17">
        <v>0.0</v>
      </c>
      <c r="G28" s="12">
        <v>1.0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44782.0</v>
      </c>
    </row>
    <row r="29" ht="15.75"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44782.0</v>
      </c>
    </row>
    <row r="30" ht="15.75" customHeight="1">
      <c r="A30" s="12">
        <v>436.0</v>
      </c>
      <c r="B30" s="12" t="s">
        <v>27</v>
      </c>
      <c r="C30" s="12">
        <v>3.0</v>
      </c>
      <c r="D30" s="12">
        <v>7.0</v>
      </c>
      <c r="E30" s="12" t="s">
        <v>28</v>
      </c>
      <c r="F30" s="17">
        <v>0.0</v>
      </c>
      <c r="G30" s="12">
        <v>0.0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44782.0</v>
      </c>
    </row>
    <row r="31" ht="15.75" customHeight="1">
      <c r="A31" s="12">
        <v>436.0</v>
      </c>
      <c r="B31" s="12" t="s">
        <v>27</v>
      </c>
      <c r="C31" s="12">
        <v>3.0</v>
      </c>
      <c r="D31" s="12">
        <v>8.0</v>
      </c>
      <c r="E31" s="12" t="s">
        <v>28</v>
      </c>
      <c r="F31" s="17">
        <v>0.0</v>
      </c>
      <c r="G31" s="12">
        <v>1.0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44782.0</v>
      </c>
    </row>
    <row r="32" ht="15.75" customHeight="1">
      <c r="A32" s="12">
        <v>436.0</v>
      </c>
      <c r="B32" s="12" t="s">
        <v>27</v>
      </c>
      <c r="C32" s="12">
        <v>3.0</v>
      </c>
      <c r="D32" s="12">
        <v>9.0</v>
      </c>
      <c r="E32" s="12" t="s">
        <v>28</v>
      </c>
      <c r="F32" s="17">
        <v>0.0</v>
      </c>
      <c r="G32" s="12">
        <v>0.0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44782.0</v>
      </c>
    </row>
    <row r="33" ht="15.75" customHeight="1">
      <c r="A33" s="12">
        <v>436.0</v>
      </c>
      <c r="B33" s="12" t="s">
        <v>27</v>
      </c>
      <c r="C33" s="12">
        <v>3.0</v>
      </c>
      <c r="D33" s="12">
        <v>10.0</v>
      </c>
      <c r="E33" s="12" t="s">
        <v>28</v>
      </c>
      <c r="F33" s="21">
        <v>0.0</v>
      </c>
      <c r="G33" s="12">
        <v>1.0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44782.0</v>
      </c>
    </row>
    <row r="34" ht="15.75" customHeight="1">
      <c r="A34" s="22">
        <v>436.0</v>
      </c>
      <c r="B34" s="12" t="s">
        <v>27</v>
      </c>
      <c r="C34" s="12">
        <v>3.0</v>
      </c>
      <c r="D34" s="12" t="s">
        <v>28</v>
      </c>
      <c r="E34" s="12">
        <v>6.0</v>
      </c>
      <c r="F34" s="23">
        <f t="shared" ref="F34:N34" si="3">AVERAGE(F24:F33)</f>
        <v>0</v>
      </c>
      <c r="G34" s="24">
        <f t="shared" si="3"/>
        <v>0.6</v>
      </c>
      <c r="H34" s="24">
        <f t="shared" si="3"/>
        <v>0</v>
      </c>
      <c r="I34" s="24">
        <f t="shared" si="3"/>
        <v>0</v>
      </c>
      <c r="J34" s="24">
        <f t="shared" si="3"/>
        <v>0</v>
      </c>
      <c r="K34" s="24">
        <f t="shared" si="3"/>
        <v>0</v>
      </c>
      <c r="L34" s="24">
        <f t="shared" si="3"/>
        <v>0</v>
      </c>
      <c r="M34" s="24">
        <f t="shared" si="3"/>
        <v>0</v>
      </c>
      <c r="N34" s="25">
        <f t="shared" si="3"/>
        <v>0</v>
      </c>
      <c r="O34" s="12">
        <v>0.0</v>
      </c>
      <c r="P34" s="12">
        <v>0.0</v>
      </c>
      <c r="Q34" s="12">
        <v>0.0</v>
      </c>
      <c r="R34" s="12">
        <v>0.0</v>
      </c>
      <c r="S34" s="12">
        <v>0.0</v>
      </c>
      <c r="T34" s="12">
        <v>0.0</v>
      </c>
      <c r="U34" s="12">
        <v>0.0</v>
      </c>
      <c r="V34" s="12">
        <v>0.0</v>
      </c>
      <c r="W34" s="19">
        <v>0.0</v>
      </c>
      <c r="X34" s="12">
        <v>36.008488</v>
      </c>
      <c r="Y34" s="12">
        <v>-79.017933</v>
      </c>
      <c r="Z34" s="12" t="s">
        <v>29</v>
      </c>
      <c r="AA34" s="20">
        <v>44782.0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44782.0</v>
      </c>
    </row>
    <row r="36" ht="15.75" customHeight="1">
      <c r="A36" s="12">
        <v>437.0</v>
      </c>
      <c r="B36" s="12" t="s">
        <v>27</v>
      </c>
      <c r="C36" s="12">
        <v>4.0</v>
      </c>
      <c r="D36" s="12">
        <v>2.0</v>
      </c>
      <c r="E36" s="12" t="s">
        <v>28</v>
      </c>
      <c r="F36" s="17">
        <v>1.0</v>
      </c>
      <c r="G36" s="12">
        <v>1.0</v>
      </c>
      <c r="H36" s="12">
        <v>1.0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44782.0</v>
      </c>
    </row>
    <row r="37" ht="15.75" customHeight="1">
      <c r="A37" s="12">
        <v>437.0</v>
      </c>
      <c r="B37" s="12" t="s">
        <v>27</v>
      </c>
      <c r="C37" s="12">
        <v>4.0</v>
      </c>
      <c r="D37" s="12">
        <v>3.0</v>
      </c>
      <c r="E37" s="12" t="s">
        <v>28</v>
      </c>
      <c r="F37" s="17">
        <v>0.0</v>
      </c>
      <c r="G37" s="12">
        <v>1.0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44782.0</v>
      </c>
    </row>
    <row r="38" ht="15.75" customHeight="1">
      <c r="A38" s="12">
        <v>437.0</v>
      </c>
      <c r="B38" s="12" t="s">
        <v>27</v>
      </c>
      <c r="C38" s="12">
        <v>4.0</v>
      </c>
      <c r="D38" s="12">
        <v>4.0</v>
      </c>
      <c r="E38" s="12" t="s">
        <v>28</v>
      </c>
      <c r="F38" s="17">
        <v>0.0</v>
      </c>
      <c r="G38" s="12">
        <v>1.0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44782.0</v>
      </c>
    </row>
    <row r="39" ht="15.75" customHeight="1">
      <c r="A39" s="12">
        <v>437.0</v>
      </c>
      <c r="B39" s="12" t="s">
        <v>27</v>
      </c>
      <c r="C39" s="12">
        <v>4.0</v>
      </c>
      <c r="D39" s="12">
        <v>5.0</v>
      </c>
      <c r="E39" s="12" t="s">
        <v>28</v>
      </c>
      <c r="F39" s="17">
        <v>0.0</v>
      </c>
      <c r="G39" s="12">
        <v>1.0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44782.0</v>
      </c>
    </row>
    <row r="40" ht="15.75" customHeight="1">
      <c r="A40" s="12">
        <v>437.0</v>
      </c>
      <c r="B40" s="12" t="s">
        <v>27</v>
      </c>
      <c r="C40" s="12">
        <v>4.0</v>
      </c>
      <c r="D40" s="12">
        <v>6.0</v>
      </c>
      <c r="E40" s="12" t="s">
        <v>28</v>
      </c>
      <c r="F40" s="17">
        <v>0.0</v>
      </c>
      <c r="G40" s="12">
        <v>1.0</v>
      </c>
      <c r="H40" s="12">
        <v>0.0</v>
      </c>
      <c r="I40" s="12">
        <v>0.0</v>
      </c>
      <c r="J40" s="12">
        <v>0.0</v>
      </c>
      <c r="K40" s="12">
        <v>1.0</v>
      </c>
      <c r="L40" s="12">
        <v>0.0</v>
      </c>
      <c r="M40" s="12">
        <v>0.0</v>
      </c>
      <c r="N40" s="19">
        <v>1.0</v>
      </c>
      <c r="O40" s="12">
        <v>0.0</v>
      </c>
      <c r="P40" s="12">
        <v>0.0</v>
      </c>
      <c r="Q40" s="12">
        <v>0.0</v>
      </c>
      <c r="R40" s="12">
        <v>0.0</v>
      </c>
      <c r="S40" s="12">
        <v>0.0</v>
      </c>
      <c r="T40" s="12">
        <v>0.0</v>
      </c>
      <c r="U40" s="12">
        <v>0.0</v>
      </c>
      <c r="V40" s="12">
        <v>0.0</v>
      </c>
      <c r="W40" s="19">
        <v>0.0</v>
      </c>
      <c r="X40" s="12">
        <v>36.008747</v>
      </c>
      <c r="Y40" s="12">
        <v>-79.018008</v>
      </c>
      <c r="Z40" s="12" t="s">
        <v>29</v>
      </c>
      <c r="AA40" s="20">
        <v>44782.0</v>
      </c>
    </row>
    <row r="41" ht="15.75" customHeight="1">
      <c r="A41" s="12">
        <v>437.0</v>
      </c>
      <c r="B41" s="12" t="s">
        <v>27</v>
      </c>
      <c r="C41" s="12">
        <v>4.0</v>
      </c>
      <c r="D41" s="12">
        <v>7.0</v>
      </c>
      <c r="E41" s="12" t="s">
        <v>28</v>
      </c>
      <c r="F41" s="17">
        <v>0.0</v>
      </c>
      <c r="G41" s="12">
        <v>1.0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44782.0</v>
      </c>
    </row>
    <row r="42" ht="15.75" customHeight="1">
      <c r="A42" s="12">
        <v>437.0</v>
      </c>
      <c r="B42" s="12" t="s">
        <v>27</v>
      </c>
      <c r="C42" s="12">
        <v>4.0</v>
      </c>
      <c r="D42" s="12">
        <v>8.0</v>
      </c>
      <c r="E42" s="12" t="s">
        <v>28</v>
      </c>
      <c r="F42" s="17">
        <v>1.0</v>
      </c>
      <c r="G42" s="12">
        <v>1.0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44782.0</v>
      </c>
    </row>
    <row r="43" ht="15.75" customHeight="1">
      <c r="A43" s="12">
        <v>437.0</v>
      </c>
      <c r="B43" s="12" t="s">
        <v>27</v>
      </c>
      <c r="C43" s="12">
        <v>4.0</v>
      </c>
      <c r="D43" s="12">
        <v>9.0</v>
      </c>
      <c r="E43" s="12" t="s">
        <v>28</v>
      </c>
      <c r="F43" s="17">
        <v>0.0</v>
      </c>
      <c r="G43" s="12">
        <v>1.0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44782.0</v>
      </c>
    </row>
    <row r="44" ht="15.75" customHeight="1">
      <c r="A44" s="12">
        <v>437.0</v>
      </c>
      <c r="B44" s="12" t="s">
        <v>27</v>
      </c>
      <c r="C44" s="12">
        <v>4.0</v>
      </c>
      <c r="D44" s="12">
        <v>10.0</v>
      </c>
      <c r="E44" s="12" t="s">
        <v>28</v>
      </c>
      <c r="F44" s="21">
        <v>0.0</v>
      </c>
      <c r="G44" s="12">
        <v>1.0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44782.0</v>
      </c>
    </row>
    <row r="45" ht="15.75" customHeight="1">
      <c r="A45" s="22">
        <v>437.0</v>
      </c>
      <c r="B45" s="12" t="s">
        <v>27</v>
      </c>
      <c r="C45" s="12">
        <v>4.0</v>
      </c>
      <c r="D45" s="12" t="s">
        <v>28</v>
      </c>
      <c r="E45" s="12">
        <v>3.0</v>
      </c>
      <c r="F45" s="23">
        <f t="shared" ref="F45:N45" si="4">AVERAGE(F35:F44)</f>
        <v>0.2</v>
      </c>
      <c r="G45" s="24">
        <f t="shared" si="4"/>
        <v>0.9</v>
      </c>
      <c r="H45" s="24">
        <f t="shared" si="4"/>
        <v>0.1</v>
      </c>
      <c r="I45" s="24">
        <f t="shared" si="4"/>
        <v>0</v>
      </c>
      <c r="J45" s="24">
        <f t="shared" si="4"/>
        <v>0</v>
      </c>
      <c r="K45" s="24">
        <f t="shared" si="4"/>
        <v>0.1</v>
      </c>
      <c r="L45" s="24">
        <f t="shared" si="4"/>
        <v>0</v>
      </c>
      <c r="M45" s="24">
        <f t="shared" si="4"/>
        <v>0</v>
      </c>
      <c r="N45" s="25">
        <f t="shared" si="4"/>
        <v>0.1</v>
      </c>
      <c r="O45" s="12">
        <v>0.0</v>
      </c>
      <c r="P45" s="12">
        <v>0.0</v>
      </c>
      <c r="Q45" s="12">
        <v>0.0</v>
      </c>
      <c r="R45" s="12">
        <v>0.0</v>
      </c>
      <c r="S45" s="12">
        <v>0.0</v>
      </c>
      <c r="T45" s="12">
        <v>0.0</v>
      </c>
      <c r="U45" s="12">
        <v>0.0</v>
      </c>
      <c r="V45" s="12">
        <v>0.0</v>
      </c>
      <c r="W45" s="19">
        <v>0.0</v>
      </c>
      <c r="X45" s="12">
        <v>36.008747</v>
      </c>
      <c r="Y45" s="12">
        <v>-79.018008</v>
      </c>
      <c r="Z45" s="12" t="s">
        <v>29</v>
      </c>
      <c r="AA45" s="20">
        <v>44782.0</v>
      </c>
    </row>
    <row r="46" ht="15.75" customHeight="1">
      <c r="A46" s="12">
        <v>483.0</v>
      </c>
      <c r="B46" s="13" t="s">
        <v>27</v>
      </c>
      <c r="C46" s="13">
        <v>5.0</v>
      </c>
      <c r="D46" s="13">
        <v>1.0</v>
      </c>
      <c r="E46" s="13" t="s">
        <v>28</v>
      </c>
      <c r="F46" s="14">
        <v>0.0</v>
      </c>
      <c r="G46" s="13">
        <v>1.0</v>
      </c>
      <c r="H46" s="13">
        <v>0.0</v>
      </c>
      <c r="I46" s="13">
        <v>0.0</v>
      </c>
      <c r="J46" s="13">
        <v>0.0</v>
      </c>
      <c r="K46" s="13">
        <v>0.0</v>
      </c>
      <c r="L46" s="13">
        <v>0.0</v>
      </c>
      <c r="M46" s="13">
        <v>0.0</v>
      </c>
      <c r="N46" s="15">
        <v>0.0</v>
      </c>
      <c r="O46" s="13">
        <v>0.0</v>
      </c>
      <c r="P46" s="13">
        <v>1.0</v>
      </c>
      <c r="Q46" s="13">
        <v>0.0</v>
      </c>
      <c r="R46" s="13">
        <v>0.0</v>
      </c>
      <c r="S46" s="13">
        <v>0.0</v>
      </c>
      <c r="T46" s="13">
        <v>0.0</v>
      </c>
      <c r="U46" s="13">
        <v>0.0</v>
      </c>
      <c r="V46" s="13">
        <v>0.0</v>
      </c>
      <c r="W46" s="15">
        <v>0.0</v>
      </c>
      <c r="X46" s="13">
        <v>36.008598</v>
      </c>
      <c r="Y46" s="13">
        <v>-79.018085</v>
      </c>
      <c r="Z46" s="13" t="s">
        <v>29</v>
      </c>
      <c r="AA46" s="16">
        <v>44782.0</v>
      </c>
    </row>
    <row r="47" ht="15.75" customHeight="1">
      <c r="A47" s="12">
        <v>483.0</v>
      </c>
      <c r="B47" s="12" t="s">
        <v>27</v>
      </c>
      <c r="C47" s="12">
        <v>5.0</v>
      </c>
      <c r="D47" s="12">
        <v>2.0</v>
      </c>
      <c r="E47" s="12" t="s">
        <v>28</v>
      </c>
      <c r="F47" s="17">
        <v>0.0</v>
      </c>
      <c r="G47" s="12">
        <v>1.0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44782.0</v>
      </c>
    </row>
    <row r="48" ht="15.75" customHeight="1">
      <c r="A48" s="12">
        <v>483.0</v>
      </c>
      <c r="B48" s="12" t="s">
        <v>27</v>
      </c>
      <c r="C48" s="12">
        <v>5.0</v>
      </c>
      <c r="D48" s="12">
        <v>3.0</v>
      </c>
      <c r="E48" s="12" t="s">
        <v>28</v>
      </c>
      <c r="F48" s="17">
        <v>0.0</v>
      </c>
      <c r="G48" s="12">
        <v>1.0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44782.0</v>
      </c>
    </row>
    <row r="49" ht="15.75" customHeight="1">
      <c r="A49" s="12">
        <v>483.0</v>
      </c>
      <c r="B49" s="12" t="s">
        <v>27</v>
      </c>
      <c r="C49" s="12">
        <v>5.0</v>
      </c>
      <c r="D49" s="12">
        <v>4.0</v>
      </c>
      <c r="E49" s="12" t="s">
        <v>28</v>
      </c>
      <c r="F49" s="17">
        <v>0.0</v>
      </c>
      <c r="G49" s="12">
        <v>1.0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44782.0</v>
      </c>
    </row>
    <row r="50" ht="15.75" customHeight="1">
      <c r="A50" s="12">
        <v>483.0</v>
      </c>
      <c r="B50" s="12" t="s">
        <v>27</v>
      </c>
      <c r="C50" s="12">
        <v>5.0</v>
      </c>
      <c r="D50" s="12">
        <v>5.0</v>
      </c>
      <c r="E50" s="12" t="s">
        <v>28</v>
      </c>
      <c r="F50" s="17">
        <v>0.0</v>
      </c>
      <c r="G50" s="12">
        <v>1.0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44782.0</v>
      </c>
    </row>
    <row r="51" ht="15.75" customHeight="1">
      <c r="A51" s="12">
        <v>483.0</v>
      </c>
      <c r="B51" s="12" t="s">
        <v>27</v>
      </c>
      <c r="C51" s="12">
        <v>5.0</v>
      </c>
      <c r="D51" s="12">
        <v>6.0</v>
      </c>
      <c r="E51" s="12" t="s">
        <v>28</v>
      </c>
      <c r="F51" s="17">
        <v>0.0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44782.0</v>
      </c>
    </row>
    <row r="52" ht="15.75" customHeight="1">
      <c r="A52" s="12">
        <v>483.0</v>
      </c>
      <c r="B52" s="12" t="s">
        <v>27</v>
      </c>
      <c r="C52" s="12">
        <v>5.0</v>
      </c>
      <c r="D52" s="12">
        <v>7.0</v>
      </c>
      <c r="E52" s="12" t="s">
        <v>28</v>
      </c>
      <c r="F52" s="17">
        <v>0.0</v>
      </c>
      <c r="G52" s="12">
        <v>0.0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44782.0</v>
      </c>
    </row>
    <row r="53" ht="15.75" customHeight="1">
      <c r="A53" s="12">
        <v>483.0</v>
      </c>
      <c r="B53" s="12" t="s">
        <v>27</v>
      </c>
      <c r="C53" s="12">
        <v>5.0</v>
      </c>
      <c r="D53" s="12">
        <v>8.0</v>
      </c>
      <c r="E53" s="12" t="s">
        <v>28</v>
      </c>
      <c r="F53" s="17">
        <v>0.0</v>
      </c>
      <c r="G53" s="12">
        <v>1.0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44782.0</v>
      </c>
    </row>
    <row r="54" ht="15.75"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44782.0</v>
      </c>
    </row>
    <row r="55" ht="15.75" customHeight="1">
      <c r="A55" s="12">
        <v>483.0</v>
      </c>
      <c r="B55" s="12" t="s">
        <v>27</v>
      </c>
      <c r="C55" s="12">
        <v>5.0</v>
      </c>
      <c r="D55" s="12">
        <v>10.0</v>
      </c>
      <c r="E55" s="12" t="s">
        <v>28</v>
      </c>
      <c r="F55" s="21">
        <v>0.0</v>
      </c>
      <c r="G55" s="12">
        <v>0.0</v>
      </c>
      <c r="H55" s="12">
        <v>0.0</v>
      </c>
      <c r="I55" s="12">
        <v>0.0</v>
      </c>
      <c r="J55" s="12">
        <v>0.0</v>
      </c>
      <c r="K55" s="12">
        <v>1.0</v>
      </c>
      <c r="L55" s="12">
        <v>1.0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44782.0</v>
      </c>
    </row>
    <row r="56" ht="15.75" customHeight="1">
      <c r="A56" s="22">
        <v>483.0</v>
      </c>
      <c r="B56" s="12" t="s">
        <v>27</v>
      </c>
      <c r="C56" s="12">
        <v>5.0</v>
      </c>
      <c r="D56" s="12" t="s">
        <v>28</v>
      </c>
      <c r="E56" s="12">
        <v>19.0</v>
      </c>
      <c r="F56" s="23">
        <f t="shared" ref="F56:N56" si="5">AVERAGE(F46:F55)</f>
        <v>0</v>
      </c>
      <c r="G56" s="24">
        <f t="shared" si="5"/>
        <v>0.6</v>
      </c>
      <c r="H56" s="24">
        <f t="shared" si="5"/>
        <v>0</v>
      </c>
      <c r="I56" s="24">
        <f t="shared" si="5"/>
        <v>0</v>
      </c>
      <c r="J56" s="24">
        <f t="shared" si="5"/>
        <v>0</v>
      </c>
      <c r="K56" s="24">
        <f t="shared" si="5"/>
        <v>0.1</v>
      </c>
      <c r="L56" s="24">
        <f t="shared" si="5"/>
        <v>0.1</v>
      </c>
      <c r="M56" s="24">
        <f t="shared" si="5"/>
        <v>0</v>
      </c>
      <c r="N56" s="25">
        <f t="shared" si="5"/>
        <v>0</v>
      </c>
      <c r="O56" s="12">
        <v>0.0</v>
      </c>
      <c r="P56" s="12">
        <v>0.0</v>
      </c>
      <c r="Q56" s="12">
        <v>0.0</v>
      </c>
      <c r="R56" s="12">
        <v>0.0</v>
      </c>
      <c r="S56" s="12">
        <v>0.0</v>
      </c>
      <c r="T56" s="12">
        <v>0.0</v>
      </c>
      <c r="U56" s="12">
        <v>0.0</v>
      </c>
      <c r="V56" s="12">
        <v>0.0</v>
      </c>
      <c r="W56" s="19">
        <v>0.0</v>
      </c>
      <c r="X56" s="12">
        <v>36.008598</v>
      </c>
      <c r="Y56" s="12">
        <v>-79.018085</v>
      </c>
      <c r="Z56" s="12" t="s">
        <v>29</v>
      </c>
      <c r="AA56" s="20">
        <v>44782.0</v>
      </c>
    </row>
    <row r="57" ht="15.75" customHeight="1">
      <c r="A57" s="12">
        <v>441.0</v>
      </c>
      <c r="B57" s="13" t="s">
        <v>27</v>
      </c>
      <c r="C57" s="13">
        <v>6.0</v>
      </c>
      <c r="D57" s="13">
        <v>1.0</v>
      </c>
      <c r="E57" s="13" t="s">
        <v>28</v>
      </c>
      <c r="F57" s="14">
        <v>0.0</v>
      </c>
      <c r="G57" s="13">
        <v>1.0</v>
      </c>
      <c r="H57" s="13">
        <v>0.0</v>
      </c>
      <c r="I57" s="13">
        <v>0.0</v>
      </c>
      <c r="J57" s="13">
        <v>0.0</v>
      </c>
      <c r="K57" s="13">
        <v>0.0</v>
      </c>
      <c r="L57" s="13">
        <v>0.0</v>
      </c>
      <c r="M57" s="13">
        <v>0.0</v>
      </c>
      <c r="N57" s="15">
        <v>0.0</v>
      </c>
      <c r="O57" s="13">
        <v>0.0</v>
      </c>
      <c r="P57" s="13">
        <v>0.5</v>
      </c>
      <c r="Q57" s="13">
        <v>0.0</v>
      </c>
      <c r="R57" s="13">
        <v>0.0</v>
      </c>
      <c r="S57" s="13">
        <v>0.0</v>
      </c>
      <c r="T57" s="13">
        <v>0.0</v>
      </c>
      <c r="U57" s="13">
        <v>0.0</v>
      </c>
      <c r="V57" s="13">
        <v>0.0</v>
      </c>
      <c r="W57" s="15">
        <v>0.0</v>
      </c>
      <c r="X57" s="13">
        <v>36.008427</v>
      </c>
      <c r="Y57" s="13">
        <v>-79.018093</v>
      </c>
      <c r="Z57" s="13" t="s">
        <v>29</v>
      </c>
      <c r="AA57" s="16">
        <v>44782.0</v>
      </c>
    </row>
    <row r="58" ht="15.75" customHeight="1">
      <c r="A58" s="12">
        <v>441.0</v>
      </c>
      <c r="B58" s="12" t="s">
        <v>27</v>
      </c>
      <c r="C58" s="12">
        <v>6.0</v>
      </c>
      <c r="D58" s="12">
        <v>2.0</v>
      </c>
      <c r="E58" s="12" t="s">
        <v>28</v>
      </c>
      <c r="F58" s="17">
        <v>0.0</v>
      </c>
      <c r="G58" s="12">
        <v>0.0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44782.0</v>
      </c>
    </row>
    <row r="59" ht="15.75" customHeight="1">
      <c r="A59" s="12">
        <v>441.0</v>
      </c>
      <c r="B59" s="12" t="s">
        <v>27</v>
      </c>
      <c r="C59" s="12">
        <v>6.0</v>
      </c>
      <c r="D59" s="12">
        <v>3.0</v>
      </c>
      <c r="E59" s="12" t="s">
        <v>28</v>
      </c>
      <c r="F59" s="17">
        <v>0.0</v>
      </c>
      <c r="G59" s="12">
        <v>1.0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44782.0</v>
      </c>
    </row>
    <row r="60" ht="15.75" customHeight="1">
      <c r="A60" s="12">
        <v>441.0</v>
      </c>
      <c r="B60" s="12" t="s">
        <v>27</v>
      </c>
      <c r="C60" s="12">
        <v>6.0</v>
      </c>
      <c r="D60" s="12">
        <v>4.0</v>
      </c>
      <c r="E60" s="12" t="s">
        <v>28</v>
      </c>
      <c r="F60" s="17">
        <v>0.0</v>
      </c>
      <c r="G60" s="12">
        <v>1.0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44782.0</v>
      </c>
    </row>
    <row r="61" ht="15.75"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44782.0</v>
      </c>
    </row>
    <row r="62" ht="15.75" customHeight="1">
      <c r="A62" s="12">
        <v>441.0</v>
      </c>
      <c r="B62" s="12" t="s">
        <v>27</v>
      </c>
      <c r="C62" s="12">
        <v>6.0</v>
      </c>
      <c r="D62" s="12">
        <v>6.0</v>
      </c>
      <c r="E62" s="12" t="s">
        <v>28</v>
      </c>
      <c r="F62" s="17">
        <v>0.0</v>
      </c>
      <c r="G62" s="12">
        <v>1.0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44782.0</v>
      </c>
    </row>
    <row r="63" ht="15.75" customHeight="1">
      <c r="A63" s="12">
        <v>441.0</v>
      </c>
      <c r="B63" s="12" t="s">
        <v>27</v>
      </c>
      <c r="C63" s="12">
        <v>6.0</v>
      </c>
      <c r="D63" s="12">
        <v>7.0</v>
      </c>
      <c r="E63" s="12" t="s">
        <v>28</v>
      </c>
      <c r="F63" s="17">
        <v>0.0</v>
      </c>
      <c r="G63" s="12">
        <v>0.0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44782.0</v>
      </c>
    </row>
    <row r="64" ht="15.75" customHeight="1">
      <c r="A64" s="12">
        <v>441.0</v>
      </c>
      <c r="B64" s="12" t="s">
        <v>27</v>
      </c>
      <c r="C64" s="12">
        <v>6.0</v>
      </c>
      <c r="D64" s="12">
        <v>8.0</v>
      </c>
      <c r="E64" s="12" t="s">
        <v>28</v>
      </c>
      <c r="F64" s="17">
        <v>0.0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44782.0</v>
      </c>
    </row>
    <row r="65" ht="15.75" customHeight="1">
      <c r="A65" s="12">
        <v>441.0</v>
      </c>
      <c r="B65" s="12" t="s">
        <v>27</v>
      </c>
      <c r="C65" s="12">
        <v>6.0</v>
      </c>
      <c r="D65" s="12">
        <v>9.0</v>
      </c>
      <c r="E65" s="12" t="s">
        <v>28</v>
      </c>
      <c r="F65" s="17">
        <v>0.0</v>
      </c>
      <c r="G65" s="12">
        <v>1.0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44782.0</v>
      </c>
    </row>
    <row r="66" ht="15.75" customHeight="1">
      <c r="A66" s="12">
        <v>441.0</v>
      </c>
      <c r="B66" s="12" t="s">
        <v>27</v>
      </c>
      <c r="C66" s="12">
        <v>6.0</v>
      </c>
      <c r="D66" s="12">
        <v>10.0</v>
      </c>
      <c r="E66" s="12" t="s">
        <v>28</v>
      </c>
      <c r="F66" s="21">
        <v>0.0</v>
      </c>
      <c r="G66" s="12">
        <v>0.0</v>
      </c>
      <c r="H66" s="12">
        <v>0.0</v>
      </c>
      <c r="I66" s="12">
        <v>0.0</v>
      </c>
      <c r="J66" s="12">
        <v>0.0</v>
      </c>
      <c r="K66" s="12">
        <v>1.0</v>
      </c>
      <c r="L66" s="12">
        <v>0.0</v>
      </c>
      <c r="M66" s="12">
        <v>0.0</v>
      </c>
      <c r="N66" s="12">
        <v>1.0</v>
      </c>
      <c r="O66" s="21">
        <v>0.0</v>
      </c>
      <c r="P66" s="12">
        <v>0.0</v>
      </c>
      <c r="Q66" s="12">
        <v>0.0</v>
      </c>
      <c r="R66" s="12">
        <v>0.0</v>
      </c>
      <c r="S66" s="12">
        <v>0.0</v>
      </c>
      <c r="T66" s="12">
        <v>0.0</v>
      </c>
      <c r="U66" s="12">
        <v>0.0</v>
      </c>
      <c r="V66" s="12">
        <v>0.0</v>
      </c>
      <c r="W66" s="12">
        <v>0.0</v>
      </c>
      <c r="X66" s="17">
        <v>36.008427</v>
      </c>
      <c r="Y66" s="12">
        <v>-79.018093</v>
      </c>
      <c r="Z66" s="12" t="s">
        <v>29</v>
      </c>
      <c r="AA66" s="20">
        <v>44782.0</v>
      </c>
    </row>
    <row r="67" ht="15.75" customHeight="1">
      <c r="A67" s="22">
        <v>441.0</v>
      </c>
      <c r="B67" s="12" t="s">
        <v>27</v>
      </c>
      <c r="C67" s="12">
        <v>6.0</v>
      </c>
      <c r="D67" s="12" t="s">
        <v>28</v>
      </c>
      <c r="E67" s="12">
        <v>15.0</v>
      </c>
      <c r="F67" s="23">
        <f t="shared" ref="F67:N67" si="6">AVERAGE(F57:F66)</f>
        <v>0</v>
      </c>
      <c r="G67" s="24">
        <f t="shared" si="6"/>
        <v>0.5</v>
      </c>
      <c r="H67" s="24">
        <f t="shared" si="6"/>
        <v>0</v>
      </c>
      <c r="I67" s="24">
        <f t="shared" si="6"/>
        <v>0</v>
      </c>
      <c r="J67" s="24">
        <f t="shared" si="6"/>
        <v>0</v>
      </c>
      <c r="K67" s="24">
        <f t="shared" si="6"/>
        <v>0.1</v>
      </c>
      <c r="L67" s="24">
        <f t="shared" si="6"/>
        <v>0</v>
      </c>
      <c r="M67" s="24">
        <f t="shared" si="6"/>
        <v>0</v>
      </c>
      <c r="N67" s="25">
        <f t="shared" si="6"/>
        <v>0.1</v>
      </c>
      <c r="O67" s="12">
        <v>0.0</v>
      </c>
      <c r="P67" s="12">
        <v>0.0</v>
      </c>
      <c r="Q67" s="12">
        <v>0.0</v>
      </c>
      <c r="R67" s="12">
        <v>0.0</v>
      </c>
      <c r="S67" s="12">
        <v>0.0</v>
      </c>
      <c r="T67" s="12">
        <v>0.0</v>
      </c>
      <c r="U67" s="12">
        <v>0.0</v>
      </c>
      <c r="V67" s="12">
        <v>0.0</v>
      </c>
      <c r="W67" s="19">
        <v>0.0</v>
      </c>
      <c r="X67" s="12">
        <v>36.008427</v>
      </c>
      <c r="Y67" s="12">
        <v>-79.018093</v>
      </c>
      <c r="Z67" s="12" t="s">
        <v>29</v>
      </c>
      <c r="AA67" s="20">
        <v>44782.0</v>
      </c>
    </row>
    <row r="68" ht="15.75" customHeight="1">
      <c r="A68" s="12">
        <v>437.0</v>
      </c>
      <c r="B68" s="13" t="s">
        <v>27</v>
      </c>
      <c r="C68" s="13">
        <v>7.0</v>
      </c>
      <c r="D68" s="13">
        <v>1.0</v>
      </c>
      <c r="E68" s="13" t="s">
        <v>28</v>
      </c>
      <c r="F68" s="14">
        <v>1.0</v>
      </c>
      <c r="G68" s="13">
        <v>1.0</v>
      </c>
      <c r="H68" s="13">
        <v>0.0</v>
      </c>
      <c r="I68" s="13">
        <v>0.0</v>
      </c>
      <c r="J68" s="13">
        <v>0.0</v>
      </c>
      <c r="K68" s="13">
        <v>0.0</v>
      </c>
      <c r="L68" s="13">
        <v>0.0</v>
      </c>
      <c r="M68" s="13">
        <v>0.0</v>
      </c>
      <c r="N68" s="15">
        <v>0.0</v>
      </c>
      <c r="O68" s="13">
        <v>50.0</v>
      </c>
      <c r="P68" s="13">
        <v>1.0</v>
      </c>
      <c r="Q68" s="13">
        <v>0.0</v>
      </c>
      <c r="R68" s="13">
        <v>0.0</v>
      </c>
      <c r="S68" s="13">
        <v>0.0</v>
      </c>
      <c r="T68" s="13">
        <v>0.0</v>
      </c>
      <c r="U68" s="13">
        <v>0.0</v>
      </c>
      <c r="V68" s="13">
        <v>0.0</v>
      </c>
      <c r="W68" s="15">
        <v>0.0</v>
      </c>
      <c r="X68" s="13">
        <v>36.008302</v>
      </c>
      <c r="Y68" s="13">
        <v>-79.018165</v>
      </c>
      <c r="Z68" s="13" t="s">
        <v>29</v>
      </c>
      <c r="AA68" s="16">
        <v>44782.0</v>
      </c>
    </row>
    <row r="69" ht="15.75" customHeight="1">
      <c r="A69" s="12">
        <v>437.0</v>
      </c>
      <c r="B69" s="12" t="s">
        <v>27</v>
      </c>
      <c r="C69" s="12">
        <v>7.0</v>
      </c>
      <c r="D69" s="12">
        <v>2.0</v>
      </c>
      <c r="E69" s="12" t="s">
        <v>28</v>
      </c>
      <c r="F69" s="17">
        <v>0.0</v>
      </c>
      <c r="G69" s="12">
        <v>1.0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44782.0</v>
      </c>
    </row>
    <row r="70" ht="15.75" customHeight="1">
      <c r="A70" s="12">
        <v>437.0</v>
      </c>
      <c r="B70" s="12" t="s">
        <v>27</v>
      </c>
      <c r="C70" s="12">
        <v>7.0</v>
      </c>
      <c r="D70" s="12">
        <v>3.0</v>
      </c>
      <c r="E70" s="12" t="s">
        <v>28</v>
      </c>
      <c r="F70" s="17">
        <v>0.0</v>
      </c>
      <c r="G70" s="12">
        <v>0.0</v>
      </c>
      <c r="H70" s="12">
        <v>0.0</v>
      </c>
      <c r="I70" s="12">
        <v>0.0</v>
      </c>
      <c r="J70" s="12">
        <v>0.0</v>
      </c>
      <c r="K70" s="12">
        <v>1.0</v>
      </c>
      <c r="L70" s="12">
        <v>1.0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44782.0</v>
      </c>
    </row>
    <row r="71" ht="15.75" customHeight="1">
      <c r="A71" s="12">
        <v>437.0</v>
      </c>
      <c r="B71" s="12" t="s">
        <v>27</v>
      </c>
      <c r="C71" s="12">
        <v>7.0</v>
      </c>
      <c r="D71" s="12">
        <v>4.0</v>
      </c>
      <c r="E71" s="12" t="s">
        <v>28</v>
      </c>
      <c r="F71" s="17">
        <v>0.0</v>
      </c>
      <c r="G71" s="12">
        <v>1.0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44782.0</v>
      </c>
    </row>
    <row r="72" ht="15.75" customHeight="1">
      <c r="A72" s="12">
        <v>437.0</v>
      </c>
      <c r="B72" s="12" t="s">
        <v>27</v>
      </c>
      <c r="C72" s="12">
        <v>7.0</v>
      </c>
      <c r="D72" s="12">
        <v>5.0</v>
      </c>
      <c r="E72" s="12" t="s">
        <v>28</v>
      </c>
      <c r="F72" s="17">
        <v>1.0</v>
      </c>
      <c r="G72" s="12">
        <v>1.0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44782.0</v>
      </c>
    </row>
    <row r="73" ht="15.75" customHeight="1">
      <c r="A73" s="12">
        <v>437.0</v>
      </c>
      <c r="B73" s="12" t="s">
        <v>27</v>
      </c>
      <c r="C73" s="12">
        <v>7.0</v>
      </c>
      <c r="D73" s="12">
        <v>6.0</v>
      </c>
      <c r="E73" s="12" t="s">
        <v>28</v>
      </c>
      <c r="F73" s="17">
        <v>0.0</v>
      </c>
      <c r="G73" s="12">
        <v>1.0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44782.0</v>
      </c>
    </row>
    <row r="74" ht="15.75" customHeight="1">
      <c r="A74" s="12">
        <v>437.0</v>
      </c>
      <c r="B74" s="12" t="s">
        <v>27</v>
      </c>
      <c r="C74" s="12">
        <v>7.0</v>
      </c>
      <c r="D74" s="12">
        <v>7.0</v>
      </c>
      <c r="E74" s="12" t="s">
        <v>28</v>
      </c>
      <c r="F74" s="17">
        <v>1.0</v>
      </c>
      <c r="G74" s="12">
        <v>1.0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44782.0</v>
      </c>
    </row>
    <row r="75" ht="15.75" customHeight="1">
      <c r="A75" s="12">
        <v>437.0</v>
      </c>
      <c r="B75" s="12" t="s">
        <v>27</v>
      </c>
      <c r="C75" s="12">
        <v>7.0</v>
      </c>
      <c r="D75" s="12">
        <v>8.0</v>
      </c>
      <c r="E75" s="12" t="s">
        <v>28</v>
      </c>
      <c r="F75" s="17">
        <v>1.0</v>
      </c>
      <c r="G75" s="12">
        <v>1.0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44782.0</v>
      </c>
    </row>
    <row r="76" ht="15.75" customHeight="1">
      <c r="A76" s="12">
        <v>437.0</v>
      </c>
      <c r="B76" s="12" t="s">
        <v>27</v>
      </c>
      <c r="C76" s="12">
        <v>7.0</v>
      </c>
      <c r="D76" s="12">
        <v>9.0</v>
      </c>
      <c r="E76" s="12" t="s">
        <v>28</v>
      </c>
      <c r="F76" s="17">
        <v>0.0</v>
      </c>
      <c r="G76" s="12">
        <v>1.0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44782.0</v>
      </c>
    </row>
    <row r="77" ht="15.75" customHeight="1">
      <c r="A77" s="12">
        <v>437.0</v>
      </c>
      <c r="B77" s="12" t="s">
        <v>27</v>
      </c>
      <c r="C77" s="12">
        <v>7.0</v>
      </c>
      <c r="D77" s="12">
        <v>10.0</v>
      </c>
      <c r="E77" s="12" t="s">
        <v>28</v>
      </c>
      <c r="F77" s="21">
        <v>0.0</v>
      </c>
      <c r="G77" s="12">
        <v>1.0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44782.0</v>
      </c>
    </row>
    <row r="78" ht="15.75" customHeight="1">
      <c r="A78" s="22">
        <v>437.0</v>
      </c>
      <c r="B78" s="12" t="s">
        <v>27</v>
      </c>
      <c r="C78" s="12">
        <v>7.0</v>
      </c>
      <c r="D78" s="12" t="s">
        <v>28</v>
      </c>
      <c r="E78" s="12">
        <v>6.0</v>
      </c>
      <c r="F78" s="23">
        <f t="shared" ref="F78:N78" si="7">AVERAGE(F68:F77)</f>
        <v>0.4</v>
      </c>
      <c r="G78" s="24">
        <f t="shared" si="7"/>
        <v>0.9</v>
      </c>
      <c r="H78" s="24">
        <f t="shared" si="7"/>
        <v>0</v>
      </c>
      <c r="I78" s="24">
        <f t="shared" si="7"/>
        <v>0</v>
      </c>
      <c r="J78" s="24">
        <f t="shared" si="7"/>
        <v>0</v>
      </c>
      <c r="K78" s="24">
        <f t="shared" si="7"/>
        <v>0.1</v>
      </c>
      <c r="L78" s="24">
        <f t="shared" si="7"/>
        <v>0.1</v>
      </c>
      <c r="M78" s="24">
        <f t="shared" si="7"/>
        <v>0</v>
      </c>
      <c r="N78" s="25">
        <f t="shared" si="7"/>
        <v>0</v>
      </c>
      <c r="O78" s="12">
        <v>0.0</v>
      </c>
      <c r="P78" s="12">
        <v>0.0</v>
      </c>
      <c r="Q78" s="12">
        <v>0.0</v>
      </c>
      <c r="R78" s="12">
        <v>0.0</v>
      </c>
      <c r="S78" s="12">
        <v>0.0</v>
      </c>
      <c r="T78" s="12">
        <v>0.0</v>
      </c>
      <c r="U78" s="12">
        <v>0.0</v>
      </c>
      <c r="V78" s="12">
        <v>0.0</v>
      </c>
      <c r="W78" s="19">
        <v>0.0</v>
      </c>
      <c r="X78" s="12">
        <v>36.008302</v>
      </c>
      <c r="Y78" s="12">
        <v>-79.018165</v>
      </c>
      <c r="Z78" s="12" t="s">
        <v>29</v>
      </c>
      <c r="AA78" s="20">
        <v>44782.0</v>
      </c>
    </row>
    <row r="79" ht="15.75" customHeight="1">
      <c r="A79" s="12">
        <v>445.0</v>
      </c>
      <c r="B79" s="13" t="s">
        <v>27</v>
      </c>
      <c r="C79" s="13">
        <v>8.0</v>
      </c>
      <c r="D79" s="13">
        <v>1.0</v>
      </c>
      <c r="E79" s="13" t="s">
        <v>28</v>
      </c>
      <c r="F79" s="14">
        <v>0.0</v>
      </c>
      <c r="G79" s="13">
        <v>1.0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44782.0</v>
      </c>
    </row>
    <row r="80" ht="15.75" customHeight="1">
      <c r="A80" s="12">
        <v>445.0</v>
      </c>
      <c r="B80" s="12" t="s">
        <v>27</v>
      </c>
      <c r="C80" s="12">
        <v>8.0</v>
      </c>
      <c r="D80" s="12">
        <v>2.0</v>
      </c>
      <c r="E80" s="12" t="s">
        <v>28</v>
      </c>
      <c r="F80" s="17">
        <v>0.0</v>
      </c>
      <c r="G80" s="12">
        <v>1.0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44782.0</v>
      </c>
    </row>
    <row r="81" ht="15.75"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44782.0</v>
      </c>
    </row>
    <row r="82" ht="15.75" customHeight="1">
      <c r="A82" s="12">
        <v>445.0</v>
      </c>
      <c r="B82" s="12" t="s">
        <v>27</v>
      </c>
      <c r="C82" s="12">
        <v>8.0</v>
      </c>
      <c r="D82" s="12">
        <v>4.0</v>
      </c>
      <c r="E82" s="12" t="s">
        <v>28</v>
      </c>
      <c r="F82" s="17">
        <v>0.0</v>
      </c>
      <c r="G82" s="12">
        <v>1.0</v>
      </c>
      <c r="H82" s="12">
        <v>0.0</v>
      </c>
      <c r="I82" s="12">
        <v>0.0</v>
      </c>
      <c r="J82" s="12">
        <v>0.0</v>
      </c>
      <c r="K82" s="12">
        <v>1.0</v>
      </c>
      <c r="L82" s="12">
        <v>0.0</v>
      </c>
      <c r="M82" s="12">
        <v>0.0</v>
      </c>
      <c r="N82" s="19">
        <v>1.0</v>
      </c>
      <c r="O82" s="12">
        <v>0.0</v>
      </c>
      <c r="P82" s="12">
        <v>0.0</v>
      </c>
      <c r="Q82" s="12">
        <v>0.0</v>
      </c>
      <c r="R82" s="12">
        <v>0.0</v>
      </c>
      <c r="S82" s="12">
        <v>0.0</v>
      </c>
      <c r="T82" s="12">
        <v>0.0</v>
      </c>
      <c r="U82" s="12">
        <v>0.0</v>
      </c>
      <c r="V82" s="12">
        <v>0.0</v>
      </c>
      <c r="W82" s="19">
        <v>0.0</v>
      </c>
      <c r="X82" s="12">
        <v>36.008517</v>
      </c>
      <c r="Y82" s="12">
        <v>-79.018282</v>
      </c>
      <c r="Z82" s="12" t="s">
        <v>29</v>
      </c>
      <c r="AA82" s="20">
        <v>44782.0</v>
      </c>
    </row>
    <row r="83" ht="15.75" customHeight="1">
      <c r="A83" s="12">
        <v>445.0</v>
      </c>
      <c r="B83" s="12" t="s">
        <v>27</v>
      </c>
      <c r="C83" s="12">
        <v>8.0</v>
      </c>
      <c r="D83" s="12">
        <v>5.0</v>
      </c>
      <c r="E83" s="12" t="s">
        <v>28</v>
      </c>
      <c r="F83" s="17">
        <v>0.0</v>
      </c>
      <c r="G83" s="12">
        <v>1.0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44782.0</v>
      </c>
    </row>
    <row r="84" ht="15.75" customHeight="1">
      <c r="A84" s="12">
        <v>445.0</v>
      </c>
      <c r="B84" s="12" t="s">
        <v>27</v>
      </c>
      <c r="C84" s="12">
        <v>8.0</v>
      </c>
      <c r="D84" s="12">
        <v>6.0</v>
      </c>
      <c r="E84" s="12" t="s">
        <v>28</v>
      </c>
      <c r="F84" s="17">
        <v>0.0</v>
      </c>
      <c r="G84" s="12">
        <v>1.0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44782.0</v>
      </c>
    </row>
    <row r="85" ht="15.75" customHeight="1">
      <c r="A85" s="12">
        <v>445.0</v>
      </c>
      <c r="B85" s="12" t="s">
        <v>27</v>
      </c>
      <c r="C85" s="12">
        <v>8.0</v>
      </c>
      <c r="D85" s="12">
        <v>7.0</v>
      </c>
      <c r="E85" s="12" t="s">
        <v>28</v>
      </c>
      <c r="F85" s="17">
        <v>0.0</v>
      </c>
      <c r="G85" s="12">
        <v>0.0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44782.0</v>
      </c>
    </row>
    <row r="86" ht="15.75" customHeight="1">
      <c r="A86" s="12">
        <v>445.0</v>
      </c>
      <c r="B86" s="12" t="s">
        <v>27</v>
      </c>
      <c r="C86" s="12">
        <v>8.0</v>
      </c>
      <c r="D86" s="12">
        <v>8.0</v>
      </c>
      <c r="E86" s="12" t="s">
        <v>28</v>
      </c>
      <c r="F86" s="17">
        <v>0.0</v>
      </c>
      <c r="G86" s="12">
        <v>1.0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44782.0</v>
      </c>
    </row>
    <row r="87" ht="15.75" customHeight="1">
      <c r="A87" s="12">
        <v>445.0</v>
      </c>
      <c r="B87" s="12" t="s">
        <v>27</v>
      </c>
      <c r="C87" s="12">
        <v>8.0</v>
      </c>
      <c r="D87" s="12">
        <v>9.0</v>
      </c>
      <c r="E87" s="12" t="s">
        <v>28</v>
      </c>
      <c r="F87" s="17">
        <v>0.0</v>
      </c>
      <c r="G87" s="12">
        <v>1.0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44782.0</v>
      </c>
    </row>
    <row r="88" ht="15.75" customHeight="1">
      <c r="A88" s="12">
        <v>445.0</v>
      </c>
      <c r="B88" s="12" t="s">
        <v>27</v>
      </c>
      <c r="C88" s="12">
        <v>8.0</v>
      </c>
      <c r="D88" s="12">
        <v>10.0</v>
      </c>
      <c r="E88" s="12" t="s">
        <v>28</v>
      </c>
      <c r="F88" s="21">
        <v>0.0</v>
      </c>
      <c r="G88" s="12">
        <v>1.0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44782.0</v>
      </c>
    </row>
    <row r="89" ht="15.75" customHeight="1">
      <c r="A89" s="22">
        <v>445.0</v>
      </c>
      <c r="B89" s="12" t="s">
        <v>27</v>
      </c>
      <c r="C89" s="12">
        <v>8.0</v>
      </c>
      <c r="D89" s="12" t="s">
        <v>28</v>
      </c>
      <c r="E89" s="12">
        <v>8.0</v>
      </c>
      <c r="F89" s="23">
        <f t="shared" ref="F89:N89" si="8">AVERAGE(F79:F88)</f>
        <v>0</v>
      </c>
      <c r="G89" s="24">
        <f t="shared" si="8"/>
        <v>0.8</v>
      </c>
      <c r="H89" s="24">
        <f t="shared" si="8"/>
        <v>0</v>
      </c>
      <c r="I89" s="24">
        <f t="shared" si="8"/>
        <v>0</v>
      </c>
      <c r="J89" s="24">
        <f t="shared" si="8"/>
        <v>0</v>
      </c>
      <c r="K89" s="24">
        <f t="shared" si="8"/>
        <v>0.1</v>
      </c>
      <c r="L89" s="24">
        <f t="shared" si="8"/>
        <v>0</v>
      </c>
      <c r="M89" s="24">
        <f t="shared" si="8"/>
        <v>0</v>
      </c>
      <c r="N89" s="25">
        <f t="shared" si="8"/>
        <v>0.1</v>
      </c>
      <c r="O89" s="12">
        <v>0.0</v>
      </c>
      <c r="P89" s="12">
        <v>0.0</v>
      </c>
      <c r="Q89" s="12">
        <v>0.0</v>
      </c>
      <c r="R89" s="12">
        <v>0.0</v>
      </c>
      <c r="S89" s="12">
        <v>0.0</v>
      </c>
      <c r="T89" s="12">
        <v>0.0</v>
      </c>
      <c r="U89" s="12">
        <v>0.0</v>
      </c>
      <c r="V89" s="12">
        <v>0.0</v>
      </c>
      <c r="W89" s="19">
        <v>0.0</v>
      </c>
      <c r="X89" s="12">
        <v>36.008517</v>
      </c>
      <c r="Y89" s="12">
        <v>-79.018282</v>
      </c>
      <c r="Z89" s="12" t="s">
        <v>29</v>
      </c>
      <c r="AA89" s="20">
        <v>44782.0</v>
      </c>
    </row>
    <row r="90" ht="15.75" customHeight="1">
      <c r="A90" s="12">
        <v>450.0</v>
      </c>
      <c r="B90" s="13" t="s">
        <v>27</v>
      </c>
      <c r="C90" s="13">
        <v>9.0</v>
      </c>
      <c r="D90" s="13">
        <v>1.0</v>
      </c>
      <c r="E90" s="13" t="s">
        <v>28</v>
      </c>
      <c r="F90" s="14">
        <v>0.0</v>
      </c>
      <c r="G90" s="13">
        <v>1.0</v>
      </c>
      <c r="H90" s="13">
        <v>0.0</v>
      </c>
      <c r="I90" s="13">
        <v>0.0</v>
      </c>
      <c r="J90" s="13">
        <v>0.0</v>
      </c>
      <c r="K90" s="13">
        <v>0.0</v>
      </c>
      <c r="L90" s="13">
        <v>0.0</v>
      </c>
      <c r="M90" s="13">
        <v>0.0</v>
      </c>
      <c r="N90" s="15">
        <v>0.0</v>
      </c>
      <c r="O90" s="13">
        <v>0.0</v>
      </c>
      <c r="P90" s="13">
        <v>0.1</v>
      </c>
      <c r="Q90" s="13">
        <v>0.0</v>
      </c>
      <c r="R90" s="13">
        <v>0.0</v>
      </c>
      <c r="S90" s="13">
        <v>0.0</v>
      </c>
      <c r="T90" s="13">
        <v>0.0</v>
      </c>
      <c r="U90" s="13">
        <v>0.0</v>
      </c>
      <c r="V90" s="13">
        <v>0.0</v>
      </c>
      <c r="W90" s="15">
        <v>0.0</v>
      </c>
      <c r="X90" s="13">
        <v>36.008663</v>
      </c>
      <c r="Y90" s="13">
        <v>-79.018377</v>
      </c>
      <c r="Z90" s="13" t="s">
        <v>29</v>
      </c>
      <c r="AA90" s="16">
        <v>44782.0</v>
      </c>
    </row>
    <row r="91" ht="15.75" customHeight="1">
      <c r="A91" s="12">
        <v>450.0</v>
      </c>
      <c r="B91" s="12" t="s">
        <v>27</v>
      </c>
      <c r="C91" s="12">
        <v>9.0</v>
      </c>
      <c r="D91" s="12">
        <v>2.0</v>
      </c>
      <c r="E91" s="12" t="s">
        <v>28</v>
      </c>
      <c r="F91" s="17">
        <v>0.0</v>
      </c>
      <c r="G91" s="12">
        <v>1.0</v>
      </c>
      <c r="H91" s="12">
        <v>0.0</v>
      </c>
      <c r="I91" s="12">
        <v>0.0</v>
      </c>
      <c r="J91" s="12">
        <v>0.0</v>
      </c>
      <c r="K91" s="12">
        <v>1.0</v>
      </c>
      <c r="L91" s="12">
        <v>0.0</v>
      </c>
      <c r="M91" s="12">
        <v>0.0</v>
      </c>
      <c r="N91" s="19">
        <v>1.0</v>
      </c>
      <c r="O91" s="12">
        <v>0.0</v>
      </c>
      <c r="P91" s="12">
        <v>0.0</v>
      </c>
      <c r="Q91" s="12">
        <v>0.0</v>
      </c>
      <c r="R91" s="12">
        <v>0.0</v>
      </c>
      <c r="S91" s="12">
        <v>0.0</v>
      </c>
      <c r="T91" s="12">
        <v>0.0</v>
      </c>
      <c r="U91" s="12">
        <v>0.0</v>
      </c>
      <c r="V91" s="12">
        <v>0.0</v>
      </c>
      <c r="W91" s="19">
        <v>0.0</v>
      </c>
      <c r="X91" s="12">
        <v>36.008663</v>
      </c>
      <c r="Y91" s="12">
        <v>-79.018377</v>
      </c>
      <c r="Z91" s="12" t="s">
        <v>29</v>
      </c>
      <c r="AA91" s="20">
        <v>44782.0</v>
      </c>
    </row>
    <row r="92" ht="15.75"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44782.0</v>
      </c>
    </row>
    <row r="93" ht="15.75" customHeight="1">
      <c r="A93" s="12">
        <v>450.0</v>
      </c>
      <c r="B93" s="12" t="s">
        <v>27</v>
      </c>
      <c r="C93" s="12">
        <v>9.0</v>
      </c>
      <c r="D93" s="12">
        <v>4.0</v>
      </c>
      <c r="E93" s="12" t="s">
        <v>28</v>
      </c>
      <c r="F93" s="17">
        <v>0.0</v>
      </c>
      <c r="G93" s="12">
        <v>1.0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44782.0</v>
      </c>
    </row>
    <row r="94" ht="15.75" customHeight="1">
      <c r="A94" s="12">
        <v>450.0</v>
      </c>
      <c r="B94" s="12" t="s">
        <v>27</v>
      </c>
      <c r="C94" s="12">
        <v>9.0</v>
      </c>
      <c r="D94" s="12">
        <v>5.0</v>
      </c>
      <c r="E94" s="12" t="s">
        <v>28</v>
      </c>
      <c r="F94" s="17">
        <v>0.0</v>
      </c>
      <c r="G94" s="12">
        <v>1.0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44782.0</v>
      </c>
    </row>
    <row r="95" ht="15.75" customHeight="1">
      <c r="A95" s="12">
        <v>450.0</v>
      </c>
      <c r="B95" s="12" t="s">
        <v>27</v>
      </c>
      <c r="C95" s="12">
        <v>9.0</v>
      </c>
      <c r="D95" s="12">
        <v>6.0</v>
      </c>
      <c r="E95" s="12" t="s">
        <v>28</v>
      </c>
      <c r="F95" s="17">
        <v>0.0</v>
      </c>
      <c r="G95" s="12">
        <v>1.0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44782.0</v>
      </c>
    </row>
    <row r="96" ht="15.75" customHeight="1">
      <c r="A96" s="12">
        <v>450.0</v>
      </c>
      <c r="B96" s="12" t="s">
        <v>27</v>
      </c>
      <c r="C96" s="12">
        <v>9.0</v>
      </c>
      <c r="D96" s="12">
        <v>7.0</v>
      </c>
      <c r="E96" s="12" t="s">
        <v>28</v>
      </c>
      <c r="F96" s="17">
        <v>0.0</v>
      </c>
      <c r="G96" s="12">
        <v>0.0</v>
      </c>
      <c r="H96" s="12">
        <v>0.0</v>
      </c>
      <c r="I96" s="12">
        <v>0.0</v>
      </c>
      <c r="J96" s="12">
        <v>0.0</v>
      </c>
      <c r="K96" s="12">
        <v>1.0</v>
      </c>
      <c r="L96" s="12">
        <v>1.0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44782.0</v>
      </c>
    </row>
    <row r="97" ht="15.75" customHeight="1">
      <c r="A97" s="12">
        <v>450.0</v>
      </c>
      <c r="B97" s="12" t="s">
        <v>27</v>
      </c>
      <c r="C97" s="12">
        <v>9.0</v>
      </c>
      <c r="D97" s="12">
        <v>8.0</v>
      </c>
      <c r="E97" s="12" t="s">
        <v>28</v>
      </c>
      <c r="F97" s="17">
        <v>0.0</v>
      </c>
      <c r="G97" s="12">
        <v>1.0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44782.0</v>
      </c>
    </row>
    <row r="98" ht="15.75" customHeight="1">
      <c r="A98" s="12">
        <v>450.0</v>
      </c>
      <c r="B98" s="12" t="s">
        <v>27</v>
      </c>
      <c r="C98" s="12">
        <v>9.0</v>
      </c>
      <c r="D98" s="12">
        <v>9.0</v>
      </c>
      <c r="E98" s="12" t="s">
        <v>28</v>
      </c>
      <c r="F98" s="17">
        <v>0.0</v>
      </c>
      <c r="G98" s="12">
        <v>0.0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44782.0</v>
      </c>
    </row>
    <row r="99" ht="15.75" customHeight="1">
      <c r="A99" s="12">
        <v>450.0</v>
      </c>
      <c r="B99" s="12" t="s">
        <v>27</v>
      </c>
      <c r="C99" s="12">
        <v>9.0</v>
      </c>
      <c r="D99" s="12">
        <v>10.0</v>
      </c>
      <c r="E99" s="12" t="s">
        <v>28</v>
      </c>
      <c r="F99" s="21">
        <v>0.0</v>
      </c>
      <c r="G99" s="12">
        <v>1.0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44782.0</v>
      </c>
    </row>
    <row r="100" ht="15.75" customHeight="1">
      <c r="A100" s="22">
        <v>450.0</v>
      </c>
      <c r="B100" s="12" t="s">
        <v>27</v>
      </c>
      <c r="C100" s="12">
        <v>9.0</v>
      </c>
      <c r="D100" s="12" t="s">
        <v>28</v>
      </c>
      <c r="E100" s="12">
        <v>7.0</v>
      </c>
      <c r="F100" s="23">
        <f t="shared" ref="F100:N100" si="9">AVERAGE(F90:F99)</f>
        <v>0</v>
      </c>
      <c r="G100" s="24">
        <f t="shared" si="9"/>
        <v>0.7</v>
      </c>
      <c r="H100" s="24">
        <f t="shared" si="9"/>
        <v>0</v>
      </c>
      <c r="I100" s="24">
        <f t="shared" si="9"/>
        <v>0</v>
      </c>
      <c r="J100" s="24">
        <f t="shared" si="9"/>
        <v>0</v>
      </c>
      <c r="K100" s="24">
        <f t="shared" si="9"/>
        <v>0.2</v>
      </c>
      <c r="L100" s="24">
        <f t="shared" si="9"/>
        <v>0.1</v>
      </c>
      <c r="M100" s="24">
        <f t="shared" si="9"/>
        <v>0</v>
      </c>
      <c r="N100" s="25">
        <f t="shared" si="9"/>
        <v>0.1</v>
      </c>
      <c r="O100" s="12">
        <v>0.0</v>
      </c>
      <c r="P100" s="12">
        <v>0.0</v>
      </c>
      <c r="Q100" s="12">
        <v>0.0</v>
      </c>
      <c r="R100" s="12">
        <v>0.0</v>
      </c>
      <c r="S100" s="12">
        <v>0.0</v>
      </c>
      <c r="T100" s="12">
        <v>0.0</v>
      </c>
      <c r="U100" s="12">
        <v>0.0</v>
      </c>
      <c r="V100" s="12">
        <v>0.0</v>
      </c>
      <c r="W100" s="19">
        <v>0.0</v>
      </c>
      <c r="X100" s="12">
        <v>36.008663</v>
      </c>
      <c r="Y100" s="12">
        <v>-79.018377</v>
      </c>
      <c r="Z100" s="12" t="s">
        <v>29</v>
      </c>
      <c r="AA100" s="20">
        <v>44782.0</v>
      </c>
    </row>
    <row r="101" ht="15.75" customHeight="1">
      <c r="A101" s="12">
        <v>447.0</v>
      </c>
      <c r="B101" s="13" t="s">
        <v>27</v>
      </c>
      <c r="C101" s="13">
        <v>11.0</v>
      </c>
      <c r="D101" s="13">
        <v>1.0</v>
      </c>
      <c r="E101" s="13" t="s">
        <v>28</v>
      </c>
      <c r="F101" s="14">
        <v>1.0</v>
      </c>
      <c r="G101" s="13">
        <v>0.0</v>
      </c>
      <c r="H101" s="13">
        <v>0.0</v>
      </c>
      <c r="I101" s="13">
        <v>0.0</v>
      </c>
      <c r="J101" s="13">
        <v>0.0</v>
      </c>
      <c r="K101" s="13">
        <v>0.0</v>
      </c>
      <c r="L101" s="13">
        <v>0.0</v>
      </c>
      <c r="M101" s="13">
        <v>0.0</v>
      </c>
      <c r="N101" s="15">
        <v>0.0</v>
      </c>
      <c r="O101" s="13">
        <v>1.0</v>
      </c>
      <c r="P101" s="13">
        <v>0.0</v>
      </c>
      <c r="Q101" s="13">
        <v>0.0</v>
      </c>
      <c r="R101" s="13">
        <v>0.0</v>
      </c>
      <c r="S101" s="13">
        <v>0.0</v>
      </c>
      <c r="T101" s="13">
        <v>0.0</v>
      </c>
      <c r="U101" s="13">
        <v>0.0</v>
      </c>
      <c r="V101" s="13">
        <v>0.0</v>
      </c>
      <c r="W101" s="15">
        <v>0.0</v>
      </c>
      <c r="X101" s="13">
        <v>36.008427</v>
      </c>
      <c r="Y101" s="13">
        <v>-79.018438</v>
      </c>
      <c r="Z101" s="13" t="s">
        <v>29</v>
      </c>
      <c r="AA101" s="16">
        <v>44782.0</v>
      </c>
    </row>
    <row r="102" ht="15.75" customHeight="1">
      <c r="A102" s="12">
        <v>447.0</v>
      </c>
      <c r="B102" s="12" t="s">
        <v>27</v>
      </c>
      <c r="C102" s="12">
        <v>11.0</v>
      </c>
      <c r="D102" s="12">
        <v>2.0</v>
      </c>
      <c r="E102" s="12" t="s">
        <v>28</v>
      </c>
      <c r="F102" s="17">
        <v>0.0</v>
      </c>
      <c r="G102" s="12">
        <v>1.0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44782.0</v>
      </c>
    </row>
    <row r="103" ht="15.75" customHeight="1">
      <c r="A103" s="12">
        <v>447.0</v>
      </c>
      <c r="B103" s="12" t="s">
        <v>27</v>
      </c>
      <c r="C103" s="12">
        <v>11.0</v>
      </c>
      <c r="D103" s="12">
        <v>3.0</v>
      </c>
      <c r="E103" s="12" t="s">
        <v>28</v>
      </c>
      <c r="F103" s="17">
        <v>0.0</v>
      </c>
      <c r="G103" s="12">
        <v>1.0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44782.0</v>
      </c>
    </row>
    <row r="104" ht="15.75" customHeight="1">
      <c r="A104" s="12">
        <v>447.0</v>
      </c>
      <c r="B104" s="12" t="s">
        <v>27</v>
      </c>
      <c r="C104" s="12">
        <v>11.0</v>
      </c>
      <c r="D104" s="12">
        <v>4.0</v>
      </c>
      <c r="E104" s="12" t="s">
        <v>28</v>
      </c>
      <c r="F104" s="17">
        <v>1.0</v>
      </c>
      <c r="G104" s="12">
        <v>0.0</v>
      </c>
      <c r="H104" s="12">
        <v>0.0</v>
      </c>
      <c r="I104" s="12">
        <v>0.0</v>
      </c>
      <c r="J104" s="12">
        <v>0.0</v>
      </c>
      <c r="K104" s="12">
        <v>1.0</v>
      </c>
      <c r="L104" s="12">
        <v>1.0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44782.0</v>
      </c>
    </row>
    <row r="105" ht="15.75" customHeight="1">
      <c r="A105" s="12">
        <v>447.0</v>
      </c>
      <c r="B105" s="12" t="s">
        <v>27</v>
      </c>
      <c r="C105" s="12">
        <v>11.0</v>
      </c>
      <c r="D105" s="12">
        <v>5.0</v>
      </c>
      <c r="E105" s="12" t="s">
        <v>28</v>
      </c>
      <c r="F105" s="17">
        <v>0.0</v>
      </c>
      <c r="G105" s="12">
        <v>1.0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44782.0</v>
      </c>
    </row>
    <row r="106" ht="15.75" customHeight="1">
      <c r="A106" s="12">
        <v>447.0</v>
      </c>
      <c r="B106" s="12" t="s">
        <v>27</v>
      </c>
      <c r="C106" s="12">
        <v>11.0</v>
      </c>
      <c r="D106" s="12">
        <v>6.0</v>
      </c>
      <c r="E106" s="12" t="s">
        <v>28</v>
      </c>
      <c r="F106" s="17">
        <v>0.0</v>
      </c>
      <c r="G106" s="12">
        <v>0.0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44782.0</v>
      </c>
    </row>
    <row r="107" ht="15.75" customHeight="1">
      <c r="A107" s="12">
        <v>447.0</v>
      </c>
      <c r="B107" s="12" t="s">
        <v>27</v>
      </c>
      <c r="C107" s="12">
        <v>11.0</v>
      </c>
      <c r="D107" s="12">
        <v>7.0</v>
      </c>
      <c r="E107" s="12" t="s">
        <v>28</v>
      </c>
      <c r="F107" s="17">
        <v>0.0</v>
      </c>
      <c r="G107" s="12">
        <v>0.0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44782.0</v>
      </c>
    </row>
    <row r="108" ht="15.75" customHeight="1">
      <c r="A108" s="12">
        <v>447.0</v>
      </c>
      <c r="B108" s="12" t="s">
        <v>27</v>
      </c>
      <c r="C108" s="12">
        <v>11.0</v>
      </c>
      <c r="D108" s="12">
        <v>8.0</v>
      </c>
      <c r="E108" s="12" t="s">
        <v>28</v>
      </c>
      <c r="F108" s="17">
        <v>0.0</v>
      </c>
      <c r="G108" s="12">
        <v>1.0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44782.0</v>
      </c>
    </row>
    <row r="109" ht="15.75" customHeight="1">
      <c r="A109" s="12">
        <v>447.0</v>
      </c>
      <c r="B109" s="12" t="s">
        <v>27</v>
      </c>
      <c r="C109" s="12">
        <v>11.0</v>
      </c>
      <c r="D109" s="12">
        <v>9.0</v>
      </c>
      <c r="E109" s="12" t="s">
        <v>28</v>
      </c>
      <c r="F109" s="17">
        <v>0.0</v>
      </c>
      <c r="G109" s="12">
        <v>1.0</v>
      </c>
      <c r="H109" s="12">
        <v>1.0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44782.0</v>
      </c>
    </row>
    <row r="110" ht="15.75" customHeight="1">
      <c r="A110" s="12">
        <v>447.0</v>
      </c>
      <c r="B110" s="12" t="s">
        <v>27</v>
      </c>
      <c r="C110" s="12">
        <v>11.0</v>
      </c>
      <c r="D110" s="12">
        <v>10.0</v>
      </c>
      <c r="E110" s="12" t="s">
        <v>28</v>
      </c>
      <c r="F110" s="21">
        <v>0.0</v>
      </c>
      <c r="G110" s="12">
        <v>1.0</v>
      </c>
      <c r="H110" s="12">
        <v>0.0</v>
      </c>
      <c r="I110" s="12">
        <v>0.0</v>
      </c>
      <c r="J110" s="12">
        <v>0.0</v>
      </c>
      <c r="K110" s="12">
        <v>1.0</v>
      </c>
      <c r="L110" s="12">
        <v>0.0</v>
      </c>
      <c r="M110" s="12">
        <v>0.0</v>
      </c>
      <c r="N110" s="12">
        <v>1.0</v>
      </c>
      <c r="O110" s="21">
        <v>0.0</v>
      </c>
      <c r="P110" s="12">
        <v>0.0</v>
      </c>
      <c r="Q110" s="12">
        <v>0.0</v>
      </c>
      <c r="R110" s="12">
        <v>0.0</v>
      </c>
      <c r="S110" s="12">
        <v>0.0</v>
      </c>
      <c r="T110" s="12">
        <v>0.0</v>
      </c>
      <c r="U110" s="12">
        <v>0.0</v>
      </c>
      <c r="V110" s="12">
        <v>0.0</v>
      </c>
      <c r="W110" s="12">
        <v>0.0</v>
      </c>
      <c r="X110" s="17">
        <v>36.008427</v>
      </c>
      <c r="Y110" s="12">
        <v>-79.018438</v>
      </c>
      <c r="Z110" s="12" t="s">
        <v>29</v>
      </c>
      <c r="AA110" s="20">
        <v>44782.0</v>
      </c>
    </row>
    <row r="111" ht="15.75" customHeight="1">
      <c r="A111" s="22">
        <v>447.0</v>
      </c>
      <c r="B111" s="12" t="s">
        <v>27</v>
      </c>
      <c r="C111" s="12">
        <v>11.0</v>
      </c>
      <c r="D111" s="12" t="s">
        <v>28</v>
      </c>
      <c r="E111" s="12">
        <v>7.0</v>
      </c>
      <c r="F111" s="23">
        <f t="shared" ref="F111:N111" si="10">AVERAGE(F101:F110)</f>
        <v>0.2</v>
      </c>
      <c r="G111" s="24">
        <f t="shared" si="10"/>
        <v>0.6</v>
      </c>
      <c r="H111" s="24">
        <f t="shared" si="10"/>
        <v>0.1</v>
      </c>
      <c r="I111" s="24">
        <f t="shared" si="10"/>
        <v>0</v>
      </c>
      <c r="J111" s="24">
        <f t="shared" si="10"/>
        <v>0</v>
      </c>
      <c r="K111" s="24">
        <f t="shared" si="10"/>
        <v>0.2</v>
      </c>
      <c r="L111" s="24">
        <f t="shared" si="10"/>
        <v>0.1</v>
      </c>
      <c r="M111" s="24">
        <f t="shared" si="10"/>
        <v>0</v>
      </c>
      <c r="N111" s="25">
        <f t="shared" si="10"/>
        <v>0.1</v>
      </c>
      <c r="O111" s="12">
        <v>0.0</v>
      </c>
      <c r="P111" s="12">
        <v>0.0</v>
      </c>
      <c r="Q111" s="12">
        <v>0.0</v>
      </c>
      <c r="R111" s="12">
        <v>0.0</v>
      </c>
      <c r="S111" s="12">
        <v>0.0</v>
      </c>
      <c r="T111" s="12">
        <v>0.0</v>
      </c>
      <c r="U111" s="12">
        <v>0.0</v>
      </c>
      <c r="V111" s="12">
        <v>0.0</v>
      </c>
      <c r="W111" s="19">
        <v>0.0</v>
      </c>
      <c r="X111" s="12">
        <v>36.008427</v>
      </c>
      <c r="Y111" s="12">
        <v>-79.018438</v>
      </c>
      <c r="Z111" s="12" t="s">
        <v>29</v>
      </c>
      <c r="AA111" s="20">
        <v>44782.0</v>
      </c>
    </row>
    <row r="112" ht="15.75" customHeight="1">
      <c r="A112" s="12">
        <v>452.0</v>
      </c>
      <c r="B112" s="13" t="s">
        <v>27</v>
      </c>
      <c r="C112" s="13">
        <v>10.0</v>
      </c>
      <c r="D112" s="13">
        <v>1.0</v>
      </c>
      <c r="E112" s="13" t="s">
        <v>28</v>
      </c>
      <c r="F112" s="14">
        <v>0.0</v>
      </c>
      <c r="G112" s="13">
        <v>1.0</v>
      </c>
      <c r="H112" s="13">
        <v>0.0</v>
      </c>
      <c r="I112" s="13">
        <v>0.0</v>
      </c>
      <c r="J112" s="13">
        <v>0.0</v>
      </c>
      <c r="K112" s="13">
        <v>0.0</v>
      </c>
      <c r="L112" s="13">
        <v>0.0</v>
      </c>
      <c r="M112" s="13">
        <v>0.0</v>
      </c>
      <c r="N112" s="15">
        <v>0.0</v>
      </c>
      <c r="O112" s="13">
        <v>0.0</v>
      </c>
      <c r="P112" s="13">
        <v>1.0</v>
      </c>
      <c r="Q112" s="13">
        <v>0.0</v>
      </c>
      <c r="R112" s="13">
        <v>0.0</v>
      </c>
      <c r="S112" s="13">
        <v>0.0</v>
      </c>
      <c r="T112" s="13">
        <v>0.0</v>
      </c>
      <c r="U112" s="13">
        <v>0.0</v>
      </c>
      <c r="V112" s="13">
        <v>0.0</v>
      </c>
      <c r="W112" s="15">
        <v>0.0</v>
      </c>
      <c r="X112" s="13">
        <v>36.008622</v>
      </c>
      <c r="Y112" s="13">
        <v>-79.018582</v>
      </c>
      <c r="Z112" s="13" t="s">
        <v>29</v>
      </c>
      <c r="AA112" s="16">
        <v>44782.0</v>
      </c>
    </row>
    <row r="113" ht="15.75" customHeight="1">
      <c r="A113" s="12">
        <v>452.0</v>
      </c>
      <c r="B113" s="12" t="s">
        <v>27</v>
      </c>
      <c r="C113" s="12">
        <v>10.0</v>
      </c>
      <c r="D113" s="12">
        <v>2.0</v>
      </c>
      <c r="E113" s="12" t="s">
        <v>28</v>
      </c>
      <c r="F113" s="17">
        <v>0.0</v>
      </c>
      <c r="G113" s="12">
        <v>1.0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44782.0</v>
      </c>
    </row>
    <row r="114" ht="15.75" customHeight="1">
      <c r="A114" s="12">
        <v>452.0</v>
      </c>
      <c r="B114" s="12" t="s">
        <v>27</v>
      </c>
      <c r="C114" s="12">
        <v>10.0</v>
      </c>
      <c r="D114" s="12">
        <v>3.0</v>
      </c>
      <c r="E114" s="12" t="s">
        <v>28</v>
      </c>
      <c r="F114" s="17">
        <v>0.0</v>
      </c>
      <c r="G114" s="12">
        <v>1.0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44782.0</v>
      </c>
    </row>
    <row r="115" ht="15.75" customHeight="1">
      <c r="A115" s="12">
        <v>452.0</v>
      </c>
      <c r="B115" s="12" t="s">
        <v>27</v>
      </c>
      <c r="C115" s="12">
        <v>10.0</v>
      </c>
      <c r="D115" s="12">
        <v>4.0</v>
      </c>
      <c r="E115" s="12" t="s">
        <v>28</v>
      </c>
      <c r="F115" s="17">
        <v>0.0</v>
      </c>
      <c r="G115" s="12">
        <v>1.0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44782.0</v>
      </c>
    </row>
    <row r="116" ht="15.75" customHeight="1">
      <c r="A116" s="12">
        <v>452.0</v>
      </c>
      <c r="B116" s="12" t="s">
        <v>27</v>
      </c>
      <c r="C116" s="12">
        <v>10.0</v>
      </c>
      <c r="D116" s="12">
        <v>5.0</v>
      </c>
      <c r="E116" s="12" t="s">
        <v>28</v>
      </c>
      <c r="F116" s="17">
        <v>0.0</v>
      </c>
      <c r="G116" s="12">
        <v>1.0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44782.0</v>
      </c>
    </row>
    <row r="117" ht="15.75" customHeight="1">
      <c r="A117" s="12">
        <v>452.0</v>
      </c>
      <c r="B117" s="12" t="s">
        <v>27</v>
      </c>
      <c r="C117" s="12">
        <v>10.0</v>
      </c>
      <c r="D117" s="12">
        <v>6.0</v>
      </c>
      <c r="E117" s="12" t="s">
        <v>28</v>
      </c>
      <c r="F117" s="17">
        <v>0.0</v>
      </c>
      <c r="G117" s="12">
        <v>1.0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44782.0</v>
      </c>
    </row>
    <row r="118" ht="15.75" customHeight="1">
      <c r="A118" s="12">
        <v>452.0</v>
      </c>
      <c r="B118" s="12" t="s">
        <v>27</v>
      </c>
      <c r="C118" s="12">
        <v>10.0</v>
      </c>
      <c r="D118" s="12">
        <v>7.0</v>
      </c>
      <c r="E118" s="12" t="s">
        <v>28</v>
      </c>
      <c r="F118" s="17">
        <v>0.0</v>
      </c>
      <c r="G118" s="12">
        <v>1.0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44782.0</v>
      </c>
    </row>
    <row r="119" ht="15.75" customHeight="1">
      <c r="A119" s="12">
        <v>452.0</v>
      </c>
      <c r="B119" s="12" t="s">
        <v>27</v>
      </c>
      <c r="C119" s="12">
        <v>10.0</v>
      </c>
      <c r="D119" s="12">
        <v>8.0</v>
      </c>
      <c r="E119" s="12" t="s">
        <v>28</v>
      </c>
      <c r="F119" s="17">
        <v>0.0</v>
      </c>
      <c r="G119" s="12">
        <v>1.0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44782.0</v>
      </c>
    </row>
    <row r="120" ht="15.75" customHeight="1">
      <c r="A120" s="12">
        <v>452.0</v>
      </c>
      <c r="B120" s="12" t="s">
        <v>27</v>
      </c>
      <c r="C120" s="12">
        <v>10.0</v>
      </c>
      <c r="D120" s="12">
        <v>9.0</v>
      </c>
      <c r="E120" s="12" t="s">
        <v>28</v>
      </c>
      <c r="F120" s="17">
        <v>0.0</v>
      </c>
      <c r="G120" s="12">
        <v>1.0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44782.0</v>
      </c>
    </row>
    <row r="121" ht="15.75" customHeight="1">
      <c r="A121" s="12">
        <v>452.0</v>
      </c>
      <c r="B121" s="12" t="s">
        <v>27</v>
      </c>
      <c r="C121" s="12">
        <v>10.0</v>
      </c>
      <c r="D121" s="12">
        <v>10.0</v>
      </c>
      <c r="E121" s="12" t="s">
        <v>28</v>
      </c>
      <c r="F121" s="21">
        <v>0.0</v>
      </c>
      <c r="G121" s="12">
        <v>1.0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44782.0</v>
      </c>
    </row>
    <row r="122" ht="15.75" customHeight="1">
      <c r="A122" s="22">
        <v>452.0</v>
      </c>
      <c r="B122" s="12" t="s">
        <v>27</v>
      </c>
      <c r="C122" s="12">
        <v>10.0</v>
      </c>
      <c r="D122" s="12" t="s">
        <v>28</v>
      </c>
      <c r="E122" s="12">
        <v>7.0</v>
      </c>
      <c r="F122" s="23">
        <f t="shared" ref="F122:N122" si="11">AVERAGE(F112:F121)</f>
        <v>0</v>
      </c>
      <c r="G122" s="24">
        <f t="shared" si="11"/>
        <v>1</v>
      </c>
      <c r="H122" s="24">
        <f t="shared" si="11"/>
        <v>0</v>
      </c>
      <c r="I122" s="24">
        <f t="shared" si="11"/>
        <v>0</v>
      </c>
      <c r="J122" s="24">
        <f t="shared" si="11"/>
        <v>0</v>
      </c>
      <c r="K122" s="24">
        <f t="shared" si="11"/>
        <v>0</v>
      </c>
      <c r="L122" s="24">
        <f t="shared" si="11"/>
        <v>0</v>
      </c>
      <c r="M122" s="24">
        <f t="shared" si="11"/>
        <v>0</v>
      </c>
      <c r="N122" s="25">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44782.0</v>
      </c>
    </row>
    <row r="123" ht="15.75" customHeight="1">
      <c r="A123" s="12">
        <v>454.0</v>
      </c>
      <c r="B123" s="13" t="s">
        <v>27</v>
      </c>
      <c r="C123" s="13">
        <v>12.0</v>
      </c>
      <c r="D123" s="13">
        <v>1.0</v>
      </c>
      <c r="E123" s="13" t="s">
        <v>28</v>
      </c>
      <c r="F123" s="14">
        <v>0.0</v>
      </c>
      <c r="G123" s="13">
        <v>1.0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44782.0</v>
      </c>
    </row>
    <row r="124" ht="15.75" customHeight="1">
      <c r="A124" s="12">
        <v>454.0</v>
      </c>
      <c r="B124" s="12" t="s">
        <v>27</v>
      </c>
      <c r="C124" s="12">
        <v>12.0</v>
      </c>
      <c r="D124" s="12">
        <v>2.0</v>
      </c>
      <c r="E124" s="12" t="s">
        <v>28</v>
      </c>
      <c r="F124" s="17">
        <v>0.0</v>
      </c>
      <c r="G124" s="12">
        <v>0.0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44782.0</v>
      </c>
    </row>
    <row r="125" ht="15.75" customHeight="1">
      <c r="A125" s="12">
        <v>454.0</v>
      </c>
      <c r="B125" s="12" t="s">
        <v>27</v>
      </c>
      <c r="C125" s="12">
        <v>12.0</v>
      </c>
      <c r="D125" s="12">
        <v>3.0</v>
      </c>
      <c r="E125" s="12" t="s">
        <v>28</v>
      </c>
      <c r="F125" s="17">
        <v>0.0</v>
      </c>
      <c r="G125" s="12">
        <v>1.0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44782.0</v>
      </c>
    </row>
    <row r="126" ht="15.75" customHeight="1">
      <c r="A126" s="12">
        <v>454.0</v>
      </c>
      <c r="B126" s="12" t="s">
        <v>27</v>
      </c>
      <c r="C126" s="12">
        <v>12.0</v>
      </c>
      <c r="D126" s="12">
        <v>4.0</v>
      </c>
      <c r="E126" s="12" t="s">
        <v>28</v>
      </c>
      <c r="F126" s="17">
        <v>0.0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44782.0</v>
      </c>
    </row>
    <row r="127" ht="15.75" customHeight="1">
      <c r="A127" s="12">
        <v>454.0</v>
      </c>
      <c r="B127" s="12" t="s">
        <v>27</v>
      </c>
      <c r="C127" s="12">
        <v>12.0</v>
      </c>
      <c r="D127" s="12">
        <v>5.0</v>
      </c>
      <c r="E127" s="12" t="s">
        <v>28</v>
      </c>
      <c r="F127" s="17">
        <v>1.0</v>
      </c>
      <c r="G127" s="12">
        <v>1.0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44782.0</v>
      </c>
    </row>
    <row r="128" ht="15.75" customHeight="1">
      <c r="A128" s="12">
        <v>454.0</v>
      </c>
      <c r="B128" s="12" t="s">
        <v>27</v>
      </c>
      <c r="C128" s="12">
        <v>12.0</v>
      </c>
      <c r="D128" s="12">
        <v>6.0</v>
      </c>
      <c r="E128" s="12" t="s">
        <v>28</v>
      </c>
      <c r="F128" s="17">
        <v>0.0</v>
      </c>
      <c r="G128" s="12">
        <v>1.0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44782.0</v>
      </c>
    </row>
    <row r="129" ht="15.75" customHeight="1">
      <c r="A129" s="12">
        <v>454.0</v>
      </c>
      <c r="B129" s="12" t="s">
        <v>27</v>
      </c>
      <c r="C129" s="12">
        <v>12.0</v>
      </c>
      <c r="D129" s="12">
        <v>7.0</v>
      </c>
      <c r="E129" s="12" t="s">
        <v>28</v>
      </c>
      <c r="F129" s="17">
        <v>1.0</v>
      </c>
      <c r="G129" s="12">
        <v>1.0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44782.0</v>
      </c>
    </row>
    <row r="130" ht="15.75" customHeight="1">
      <c r="A130" s="12">
        <v>454.0</v>
      </c>
      <c r="B130" s="12" t="s">
        <v>27</v>
      </c>
      <c r="C130" s="12">
        <v>12.0</v>
      </c>
      <c r="D130" s="12">
        <v>8.0</v>
      </c>
      <c r="E130" s="12" t="s">
        <v>28</v>
      </c>
      <c r="F130" s="17">
        <v>0.0</v>
      </c>
      <c r="G130" s="12">
        <v>0.0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44782.0</v>
      </c>
    </row>
    <row r="131" ht="15.75" customHeight="1">
      <c r="A131" s="12">
        <v>454.0</v>
      </c>
      <c r="B131" s="12" t="s">
        <v>27</v>
      </c>
      <c r="C131" s="12">
        <v>12.0</v>
      </c>
      <c r="D131" s="12">
        <v>9.0</v>
      </c>
      <c r="E131" s="12" t="s">
        <v>28</v>
      </c>
      <c r="F131" s="17">
        <v>1.0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44782.0</v>
      </c>
    </row>
    <row r="132" ht="15.75" customHeight="1">
      <c r="A132" s="12">
        <v>454.0</v>
      </c>
      <c r="B132" s="12" t="s">
        <v>27</v>
      </c>
      <c r="C132" s="12">
        <v>12.0</v>
      </c>
      <c r="D132" s="12">
        <v>10.0</v>
      </c>
      <c r="E132" s="12" t="s">
        <v>28</v>
      </c>
      <c r="F132" s="21">
        <v>1.0</v>
      </c>
      <c r="G132" s="12">
        <v>1.0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44782.0</v>
      </c>
    </row>
    <row r="133" ht="15.75" customHeight="1">
      <c r="A133" s="22">
        <v>454.0</v>
      </c>
      <c r="B133" s="12" t="s">
        <v>27</v>
      </c>
      <c r="C133" s="12">
        <v>12.0</v>
      </c>
      <c r="D133" s="12" t="s">
        <v>28</v>
      </c>
      <c r="E133" s="12">
        <v>6.0</v>
      </c>
      <c r="F133" s="23">
        <f t="shared" ref="F133:N133" si="12">AVERAGE(F123:F132)</f>
        <v>0.4</v>
      </c>
      <c r="G133" s="24">
        <f t="shared" si="12"/>
        <v>0.6</v>
      </c>
      <c r="H133" s="24">
        <f t="shared" si="12"/>
        <v>0</v>
      </c>
      <c r="I133" s="24">
        <f t="shared" si="12"/>
        <v>0</v>
      </c>
      <c r="J133" s="24">
        <f t="shared" si="12"/>
        <v>0</v>
      </c>
      <c r="K133" s="24">
        <f t="shared" si="12"/>
        <v>0</v>
      </c>
      <c r="L133" s="24">
        <f t="shared" si="12"/>
        <v>0</v>
      </c>
      <c r="M133" s="24">
        <f t="shared" si="12"/>
        <v>0</v>
      </c>
      <c r="N133" s="25">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44782.0</v>
      </c>
    </row>
    <row r="134" ht="15.75" customHeight="1">
      <c r="A134" s="12">
        <v>454.0</v>
      </c>
      <c r="B134" s="13" t="s">
        <v>27</v>
      </c>
      <c r="C134" s="13">
        <v>13.0</v>
      </c>
      <c r="D134" s="13">
        <v>1.0</v>
      </c>
      <c r="E134" s="13" t="s">
        <v>28</v>
      </c>
      <c r="F134" s="14">
        <v>0.0</v>
      </c>
      <c r="G134" s="13">
        <v>1.0</v>
      </c>
      <c r="H134" s="13">
        <v>0.0</v>
      </c>
      <c r="I134" s="13">
        <v>0.0</v>
      </c>
      <c r="J134" s="13">
        <v>0.0</v>
      </c>
      <c r="K134" s="13">
        <v>0.0</v>
      </c>
      <c r="L134" s="13">
        <v>0.0</v>
      </c>
      <c r="M134" s="13">
        <v>0.0</v>
      </c>
      <c r="N134" s="15">
        <v>0.0</v>
      </c>
      <c r="O134" s="13">
        <v>0.0</v>
      </c>
      <c r="P134" s="13">
        <v>0.5</v>
      </c>
      <c r="Q134" s="13">
        <v>0.0</v>
      </c>
      <c r="R134" s="13">
        <v>0.0</v>
      </c>
      <c r="S134" s="13">
        <v>0.0</v>
      </c>
      <c r="T134" s="13">
        <v>0.0</v>
      </c>
      <c r="U134" s="13">
        <v>0.0</v>
      </c>
      <c r="V134" s="13">
        <v>0.0</v>
      </c>
      <c r="W134" s="15">
        <v>0.0</v>
      </c>
      <c r="X134" s="13">
        <v>36.008337</v>
      </c>
      <c r="Y134" s="13">
        <v>-79.018863</v>
      </c>
      <c r="Z134" s="13" t="s">
        <v>29</v>
      </c>
      <c r="AA134" s="16">
        <v>44782.0</v>
      </c>
    </row>
    <row r="135" ht="15.75" customHeight="1">
      <c r="A135" s="12">
        <v>454.0</v>
      </c>
      <c r="B135" s="12" t="s">
        <v>27</v>
      </c>
      <c r="C135" s="12">
        <v>13.0</v>
      </c>
      <c r="D135" s="12">
        <v>2.0</v>
      </c>
      <c r="E135" s="12" t="s">
        <v>28</v>
      </c>
      <c r="F135" s="17">
        <v>0.0</v>
      </c>
      <c r="G135" s="12">
        <v>0.0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44782.0</v>
      </c>
    </row>
    <row r="136" ht="15.75" customHeight="1">
      <c r="A136" s="12">
        <v>454.0</v>
      </c>
      <c r="B136" s="12" t="s">
        <v>27</v>
      </c>
      <c r="C136" s="12">
        <v>13.0</v>
      </c>
      <c r="D136" s="12">
        <v>3.0</v>
      </c>
      <c r="E136" s="12" t="s">
        <v>28</v>
      </c>
      <c r="F136" s="17">
        <v>0.0</v>
      </c>
      <c r="G136" s="12">
        <v>0.0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44782.0</v>
      </c>
    </row>
    <row r="137" ht="15.75" customHeight="1">
      <c r="A137" s="12">
        <v>454.0</v>
      </c>
      <c r="B137" s="12" t="s">
        <v>27</v>
      </c>
      <c r="C137" s="12">
        <v>13.0</v>
      </c>
      <c r="D137" s="12">
        <v>4.0</v>
      </c>
      <c r="E137" s="12" t="s">
        <v>28</v>
      </c>
      <c r="F137" s="17">
        <v>0.0</v>
      </c>
      <c r="G137" s="12">
        <v>1.0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44782.0</v>
      </c>
    </row>
    <row r="138" ht="15.75" customHeight="1">
      <c r="A138" s="12">
        <v>454.0</v>
      </c>
      <c r="B138" s="12" t="s">
        <v>27</v>
      </c>
      <c r="C138" s="12">
        <v>13.0</v>
      </c>
      <c r="D138" s="12">
        <v>5.0</v>
      </c>
      <c r="E138" s="12" t="s">
        <v>28</v>
      </c>
      <c r="F138" s="17">
        <v>1.0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44782.0</v>
      </c>
    </row>
    <row r="139" ht="15.75" customHeight="1">
      <c r="A139" s="12">
        <v>454.0</v>
      </c>
      <c r="B139" s="12" t="s">
        <v>27</v>
      </c>
      <c r="C139" s="12">
        <v>13.0</v>
      </c>
      <c r="D139" s="12">
        <v>6.0</v>
      </c>
      <c r="E139" s="12" t="s">
        <v>28</v>
      </c>
      <c r="F139" s="17">
        <v>0.0</v>
      </c>
      <c r="G139" s="12">
        <v>1.0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44782.0</v>
      </c>
    </row>
    <row r="140" ht="15.75" customHeight="1">
      <c r="A140" s="12">
        <v>454.0</v>
      </c>
      <c r="B140" s="12" t="s">
        <v>27</v>
      </c>
      <c r="C140" s="12">
        <v>13.0</v>
      </c>
      <c r="D140" s="12">
        <v>7.0</v>
      </c>
      <c r="E140" s="12" t="s">
        <v>28</v>
      </c>
      <c r="F140" s="17">
        <v>0.0</v>
      </c>
      <c r="G140" s="12">
        <v>0.0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44782.0</v>
      </c>
    </row>
    <row r="141" ht="15.75" customHeight="1">
      <c r="A141" s="12">
        <v>454.0</v>
      </c>
      <c r="B141" s="12" t="s">
        <v>27</v>
      </c>
      <c r="C141" s="12">
        <v>13.0</v>
      </c>
      <c r="D141" s="12">
        <v>8.0</v>
      </c>
      <c r="E141" s="12" t="s">
        <v>28</v>
      </c>
      <c r="F141" s="17">
        <v>0.0</v>
      </c>
      <c r="G141" s="12">
        <v>1.0</v>
      </c>
      <c r="H141" s="12">
        <v>0.0</v>
      </c>
      <c r="I141" s="12">
        <v>0.0</v>
      </c>
      <c r="J141" s="12">
        <v>0.0</v>
      </c>
      <c r="K141" s="12">
        <v>1.0</v>
      </c>
      <c r="L141" s="12">
        <v>0.0</v>
      </c>
      <c r="M141" s="12">
        <v>0.0</v>
      </c>
      <c r="N141" s="19">
        <v>1.0</v>
      </c>
      <c r="O141" s="12">
        <v>0.0</v>
      </c>
      <c r="P141" s="12">
        <v>0.0</v>
      </c>
      <c r="Q141" s="12">
        <v>0.0</v>
      </c>
      <c r="R141" s="12">
        <v>0.0</v>
      </c>
      <c r="S141" s="12">
        <v>0.0</v>
      </c>
      <c r="T141" s="12">
        <v>0.0</v>
      </c>
      <c r="U141" s="12">
        <v>0.0</v>
      </c>
      <c r="V141" s="12">
        <v>0.0</v>
      </c>
      <c r="W141" s="19">
        <v>0.0</v>
      </c>
      <c r="X141" s="12">
        <v>36.008337</v>
      </c>
      <c r="Y141" s="12">
        <v>-79.018863</v>
      </c>
      <c r="Z141" s="12" t="s">
        <v>29</v>
      </c>
      <c r="AA141" s="20">
        <v>44782.0</v>
      </c>
    </row>
    <row r="142" ht="15.75" customHeight="1">
      <c r="A142" s="12">
        <v>454.0</v>
      </c>
      <c r="B142" s="12" t="s">
        <v>27</v>
      </c>
      <c r="C142" s="12">
        <v>13.0</v>
      </c>
      <c r="D142" s="12">
        <v>9.0</v>
      </c>
      <c r="E142" s="12" t="s">
        <v>28</v>
      </c>
      <c r="F142" s="17">
        <v>0.0</v>
      </c>
      <c r="G142" s="12">
        <v>1.0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44782.0</v>
      </c>
    </row>
    <row r="143" ht="15.75" customHeight="1">
      <c r="A143" s="12">
        <v>454.0</v>
      </c>
      <c r="B143" s="12" t="s">
        <v>27</v>
      </c>
      <c r="C143" s="12">
        <v>13.0</v>
      </c>
      <c r="D143" s="12">
        <v>10.0</v>
      </c>
      <c r="E143" s="12" t="s">
        <v>28</v>
      </c>
      <c r="F143" s="21">
        <v>0.0</v>
      </c>
      <c r="G143" s="12">
        <v>1.0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44782.0</v>
      </c>
    </row>
    <row r="144" ht="15.75" customHeight="1">
      <c r="A144" s="22">
        <v>454.0</v>
      </c>
      <c r="B144" s="12" t="s">
        <v>27</v>
      </c>
      <c r="C144" s="12">
        <v>13.0</v>
      </c>
      <c r="D144" s="12" t="s">
        <v>28</v>
      </c>
      <c r="E144" s="12">
        <v>5.0</v>
      </c>
      <c r="F144" s="23">
        <f t="shared" ref="F144:N144" si="13">AVERAGE(F134:F143)</f>
        <v>0.1</v>
      </c>
      <c r="G144" s="24">
        <f t="shared" si="13"/>
        <v>0.6</v>
      </c>
      <c r="H144" s="24">
        <f t="shared" si="13"/>
        <v>0</v>
      </c>
      <c r="I144" s="24">
        <f t="shared" si="13"/>
        <v>0</v>
      </c>
      <c r="J144" s="24">
        <f t="shared" si="13"/>
        <v>0</v>
      </c>
      <c r="K144" s="24">
        <f t="shared" si="13"/>
        <v>0.1</v>
      </c>
      <c r="L144" s="24">
        <f t="shared" si="13"/>
        <v>0</v>
      </c>
      <c r="M144" s="24">
        <f t="shared" si="13"/>
        <v>0</v>
      </c>
      <c r="N144" s="25">
        <f t="shared" si="13"/>
        <v>0.1</v>
      </c>
      <c r="O144" s="12">
        <v>0.0</v>
      </c>
      <c r="P144" s="12">
        <v>0.0</v>
      </c>
      <c r="Q144" s="12">
        <v>0.0</v>
      </c>
      <c r="R144" s="12">
        <v>0.0</v>
      </c>
      <c r="S144" s="12">
        <v>0.0</v>
      </c>
      <c r="T144" s="12">
        <v>0.0</v>
      </c>
      <c r="U144" s="12">
        <v>0.0</v>
      </c>
      <c r="V144" s="12">
        <v>0.0</v>
      </c>
      <c r="W144" s="19">
        <v>0.0</v>
      </c>
      <c r="X144" s="12">
        <v>36.008337</v>
      </c>
      <c r="Y144" s="12">
        <v>-79.018863</v>
      </c>
      <c r="Z144" s="12" t="s">
        <v>29</v>
      </c>
      <c r="AA144" s="20">
        <v>44782.0</v>
      </c>
    </row>
    <row r="145" ht="15.75" customHeight="1">
      <c r="A145" s="12">
        <v>454.0</v>
      </c>
      <c r="B145" s="13" t="s">
        <v>27</v>
      </c>
      <c r="C145" s="13">
        <v>14.0</v>
      </c>
      <c r="D145" s="13">
        <v>1.0</v>
      </c>
      <c r="E145" s="13" t="s">
        <v>28</v>
      </c>
      <c r="F145" s="14">
        <v>0.0</v>
      </c>
      <c r="G145" s="13">
        <v>1.0</v>
      </c>
      <c r="H145" s="13">
        <v>0.0</v>
      </c>
      <c r="I145" s="13">
        <v>0.0</v>
      </c>
      <c r="J145" s="13">
        <v>0.0</v>
      </c>
      <c r="K145" s="13">
        <v>0.0</v>
      </c>
      <c r="L145" s="13">
        <v>0.0</v>
      </c>
      <c r="M145" s="13">
        <v>0.0</v>
      </c>
      <c r="N145" s="15">
        <v>0.0</v>
      </c>
      <c r="O145" s="13">
        <v>0.0</v>
      </c>
      <c r="P145" s="13">
        <v>2.0</v>
      </c>
      <c r="Q145" s="13">
        <v>0.0</v>
      </c>
      <c r="R145" s="13">
        <v>0.0</v>
      </c>
      <c r="S145" s="13">
        <v>0.0</v>
      </c>
      <c r="T145" s="13">
        <v>0.0</v>
      </c>
      <c r="U145" s="13">
        <v>0.0</v>
      </c>
      <c r="V145" s="13">
        <v>0.0</v>
      </c>
      <c r="W145" s="15">
        <v>0.0</v>
      </c>
      <c r="X145" s="13">
        <v>36.007955</v>
      </c>
      <c r="Y145" s="13">
        <v>-79.018668</v>
      </c>
      <c r="Z145" s="13" t="s">
        <v>29</v>
      </c>
      <c r="AA145" s="16">
        <v>44782.0</v>
      </c>
    </row>
    <row r="146" ht="15.75" customHeight="1">
      <c r="A146" s="12">
        <v>454.0</v>
      </c>
      <c r="B146" s="12" t="s">
        <v>27</v>
      </c>
      <c r="C146" s="12">
        <v>14.0</v>
      </c>
      <c r="D146" s="12">
        <v>2.0</v>
      </c>
      <c r="E146" s="12" t="s">
        <v>28</v>
      </c>
      <c r="F146" s="17">
        <v>0.0</v>
      </c>
      <c r="G146" s="12">
        <v>0.0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44782.0</v>
      </c>
    </row>
    <row r="147" ht="15.75" customHeight="1">
      <c r="A147" s="12">
        <v>454.0</v>
      </c>
      <c r="B147" s="12" t="s">
        <v>27</v>
      </c>
      <c r="C147" s="12">
        <v>14.0</v>
      </c>
      <c r="D147" s="12">
        <v>3.0</v>
      </c>
      <c r="E147" s="12" t="s">
        <v>28</v>
      </c>
      <c r="F147" s="17">
        <v>0.0</v>
      </c>
      <c r="G147" s="12">
        <v>1.0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44782.0</v>
      </c>
    </row>
    <row r="148" ht="15.75" customHeight="1">
      <c r="A148" s="12">
        <v>454.0</v>
      </c>
      <c r="B148" s="12" t="s">
        <v>27</v>
      </c>
      <c r="C148" s="12">
        <v>14.0</v>
      </c>
      <c r="D148" s="12">
        <v>4.0</v>
      </c>
      <c r="E148" s="12" t="s">
        <v>28</v>
      </c>
      <c r="F148" s="17">
        <v>0.0</v>
      </c>
      <c r="G148" s="12">
        <v>1.0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44782.0</v>
      </c>
    </row>
    <row r="149" ht="15.75" customHeight="1">
      <c r="A149" s="12">
        <v>454.0</v>
      </c>
      <c r="B149" s="12" t="s">
        <v>27</v>
      </c>
      <c r="C149" s="12">
        <v>14.0</v>
      </c>
      <c r="D149" s="12">
        <v>5.0</v>
      </c>
      <c r="E149" s="12" t="s">
        <v>28</v>
      </c>
      <c r="F149" s="17">
        <v>0.0</v>
      </c>
      <c r="G149" s="12">
        <v>1.0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44782.0</v>
      </c>
    </row>
    <row r="150" ht="15.75" customHeight="1">
      <c r="A150" s="12">
        <v>454.0</v>
      </c>
      <c r="B150" s="12" t="s">
        <v>27</v>
      </c>
      <c r="C150" s="12">
        <v>14.0</v>
      </c>
      <c r="D150" s="12">
        <v>6.0</v>
      </c>
      <c r="E150" s="12" t="s">
        <v>28</v>
      </c>
      <c r="F150" s="17">
        <v>0.0</v>
      </c>
      <c r="G150" s="12">
        <v>0.0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44782.0</v>
      </c>
    </row>
    <row r="151" ht="15.75" customHeight="1">
      <c r="A151" s="12">
        <v>454.0</v>
      </c>
      <c r="B151" s="12" t="s">
        <v>27</v>
      </c>
      <c r="C151" s="12">
        <v>14.0</v>
      </c>
      <c r="D151" s="12">
        <v>7.0</v>
      </c>
      <c r="E151" s="12" t="s">
        <v>28</v>
      </c>
      <c r="F151" s="17">
        <v>0.0</v>
      </c>
      <c r="G151" s="12">
        <v>0.0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44782.0</v>
      </c>
    </row>
    <row r="152" ht="15.75" customHeight="1">
      <c r="A152" s="12">
        <v>454.0</v>
      </c>
      <c r="B152" s="12" t="s">
        <v>27</v>
      </c>
      <c r="C152" s="12">
        <v>14.0</v>
      </c>
      <c r="D152" s="12">
        <v>8.0</v>
      </c>
      <c r="E152" s="12" t="s">
        <v>28</v>
      </c>
      <c r="F152" s="17">
        <v>0.0</v>
      </c>
      <c r="G152" s="12">
        <v>1.0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44782.0</v>
      </c>
    </row>
    <row r="153" ht="15.75" customHeight="1">
      <c r="A153" s="12">
        <v>454.0</v>
      </c>
      <c r="B153" s="12" t="s">
        <v>27</v>
      </c>
      <c r="C153" s="12">
        <v>14.0</v>
      </c>
      <c r="D153" s="12">
        <v>9.0</v>
      </c>
      <c r="E153" s="12" t="s">
        <v>28</v>
      </c>
      <c r="F153" s="17">
        <v>0.0</v>
      </c>
      <c r="G153" s="12">
        <v>1.0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44782.0</v>
      </c>
    </row>
    <row r="154" ht="15.75" customHeight="1">
      <c r="A154" s="12">
        <v>454.0</v>
      </c>
      <c r="B154" s="12" t="s">
        <v>27</v>
      </c>
      <c r="C154" s="12">
        <v>14.0</v>
      </c>
      <c r="D154" s="12">
        <v>10.0</v>
      </c>
      <c r="E154" s="12" t="s">
        <v>28</v>
      </c>
      <c r="F154" s="21">
        <v>0.0</v>
      </c>
      <c r="G154" s="12">
        <v>1.0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44782.0</v>
      </c>
    </row>
    <row r="155" ht="15.75" customHeight="1">
      <c r="A155" s="22">
        <v>454.0</v>
      </c>
      <c r="B155" s="12" t="s">
        <v>27</v>
      </c>
      <c r="C155" s="12">
        <v>14.0</v>
      </c>
      <c r="D155" s="12" t="s">
        <v>28</v>
      </c>
      <c r="E155" s="12">
        <v>12.0</v>
      </c>
      <c r="F155" s="23">
        <f t="shared" ref="F155:N155" si="14">AVERAGE(F145:F154)</f>
        <v>0</v>
      </c>
      <c r="G155" s="24">
        <f t="shared" si="14"/>
        <v>0.7</v>
      </c>
      <c r="H155" s="24">
        <f t="shared" si="14"/>
        <v>0</v>
      </c>
      <c r="I155" s="24">
        <f t="shared" si="14"/>
        <v>0</v>
      </c>
      <c r="J155" s="24">
        <f t="shared" si="14"/>
        <v>0</v>
      </c>
      <c r="K155" s="24">
        <f t="shared" si="14"/>
        <v>0</v>
      </c>
      <c r="L155" s="24">
        <f t="shared" si="14"/>
        <v>0</v>
      </c>
      <c r="M155" s="24">
        <f t="shared" si="14"/>
        <v>0</v>
      </c>
      <c r="N155" s="25">
        <f t="shared" si="14"/>
        <v>0</v>
      </c>
      <c r="O155" s="12">
        <v>0.0</v>
      </c>
      <c r="P155" s="12">
        <v>0.0</v>
      </c>
      <c r="Q155" s="12">
        <v>0.0</v>
      </c>
      <c r="R155" s="12">
        <v>0.0</v>
      </c>
      <c r="S155" s="12">
        <v>0.0</v>
      </c>
      <c r="T155" s="12">
        <v>0.0</v>
      </c>
      <c r="U155" s="12">
        <v>0.0</v>
      </c>
      <c r="V155" s="12">
        <v>0.0</v>
      </c>
      <c r="W155" s="19">
        <v>0.0</v>
      </c>
      <c r="X155" s="12">
        <v>36.007955</v>
      </c>
      <c r="Y155" s="12">
        <v>-79.018668</v>
      </c>
      <c r="Z155" s="12" t="s">
        <v>29</v>
      </c>
      <c r="AA155" s="20">
        <v>44782.0</v>
      </c>
    </row>
    <row r="156" ht="15.75" customHeight="1">
      <c r="A156" s="12">
        <v>456.0</v>
      </c>
      <c r="B156" s="13" t="s">
        <v>27</v>
      </c>
      <c r="C156" s="13">
        <v>15.0</v>
      </c>
      <c r="D156" s="13">
        <v>1.0</v>
      </c>
      <c r="E156" s="13" t="s">
        <v>28</v>
      </c>
      <c r="F156" s="14">
        <v>0.0</v>
      </c>
      <c r="G156" s="13">
        <v>0.0</v>
      </c>
      <c r="H156" s="13">
        <v>0.0</v>
      </c>
      <c r="I156" s="13">
        <v>0.0</v>
      </c>
      <c r="J156" s="13">
        <v>0.0</v>
      </c>
      <c r="K156" s="13">
        <v>1.0</v>
      </c>
      <c r="L156" s="13">
        <v>0.0</v>
      </c>
      <c r="M156" s="13">
        <v>1.0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44782.0</v>
      </c>
    </row>
    <row r="157" ht="15.75" customHeight="1">
      <c r="A157" s="12">
        <v>456.0</v>
      </c>
      <c r="B157" s="12" t="s">
        <v>27</v>
      </c>
      <c r="C157" s="12">
        <v>15.0</v>
      </c>
      <c r="D157" s="12">
        <v>2.0</v>
      </c>
      <c r="E157" s="12" t="s">
        <v>28</v>
      </c>
      <c r="F157" s="17">
        <v>0.0</v>
      </c>
      <c r="G157" s="12">
        <v>0.0</v>
      </c>
      <c r="H157" s="12">
        <v>0.0</v>
      </c>
      <c r="I157" s="12">
        <v>0.0</v>
      </c>
      <c r="J157" s="12">
        <v>0.0</v>
      </c>
      <c r="K157" s="12">
        <v>1.0</v>
      </c>
      <c r="L157" s="12">
        <v>0.0</v>
      </c>
      <c r="M157" s="12">
        <v>0.0</v>
      </c>
      <c r="N157" s="19">
        <v>1.0</v>
      </c>
      <c r="O157" s="12">
        <v>0.0</v>
      </c>
      <c r="P157" s="12">
        <v>0.0</v>
      </c>
      <c r="Q157" s="12">
        <v>0.0</v>
      </c>
      <c r="R157" s="12">
        <v>0.0</v>
      </c>
      <c r="S157" s="12">
        <v>0.0</v>
      </c>
      <c r="T157" s="12">
        <v>0.0</v>
      </c>
      <c r="U157" s="12">
        <v>0.0</v>
      </c>
      <c r="V157" s="12">
        <v>0.0</v>
      </c>
      <c r="W157" s="19">
        <v>0.0</v>
      </c>
      <c r="X157" s="12">
        <v>36.007885</v>
      </c>
      <c r="Y157" s="12">
        <v>-79.018463</v>
      </c>
      <c r="Z157" s="12" t="s">
        <v>29</v>
      </c>
      <c r="AA157" s="20">
        <v>44782.0</v>
      </c>
    </row>
    <row r="158" ht="15.75" customHeight="1">
      <c r="A158" s="12">
        <v>456.0</v>
      </c>
      <c r="B158" s="12" t="s">
        <v>27</v>
      </c>
      <c r="C158" s="12">
        <v>15.0</v>
      </c>
      <c r="D158" s="12">
        <v>3.0</v>
      </c>
      <c r="E158" s="12" t="s">
        <v>28</v>
      </c>
      <c r="F158" s="17">
        <v>0.0</v>
      </c>
      <c r="G158" s="12">
        <v>0.0</v>
      </c>
      <c r="H158" s="12">
        <v>0.0</v>
      </c>
      <c r="I158" s="12">
        <v>0.0</v>
      </c>
      <c r="J158" s="12">
        <v>0.0</v>
      </c>
      <c r="K158" s="12">
        <v>1.0</v>
      </c>
      <c r="L158" s="12">
        <v>0.0</v>
      </c>
      <c r="M158" s="12">
        <v>0.0</v>
      </c>
      <c r="N158" s="19">
        <v>1.0</v>
      </c>
      <c r="O158" s="12">
        <v>0.0</v>
      </c>
      <c r="P158" s="12">
        <v>0.0</v>
      </c>
      <c r="Q158" s="12">
        <v>0.0</v>
      </c>
      <c r="R158" s="12">
        <v>0.0</v>
      </c>
      <c r="S158" s="12">
        <v>0.0</v>
      </c>
      <c r="T158" s="12">
        <v>0.0</v>
      </c>
      <c r="U158" s="12">
        <v>0.0</v>
      </c>
      <c r="V158" s="12">
        <v>0.0</v>
      </c>
      <c r="W158" s="19">
        <v>0.0</v>
      </c>
      <c r="X158" s="12">
        <v>36.007885</v>
      </c>
      <c r="Y158" s="12">
        <v>-79.018463</v>
      </c>
      <c r="Z158" s="12" t="s">
        <v>29</v>
      </c>
      <c r="AA158" s="20">
        <v>44782.0</v>
      </c>
    </row>
    <row r="159" ht="15.75" customHeight="1">
      <c r="A159" s="12">
        <v>456.0</v>
      </c>
      <c r="B159" s="12" t="s">
        <v>27</v>
      </c>
      <c r="C159" s="12">
        <v>15.0</v>
      </c>
      <c r="D159" s="12">
        <v>4.0</v>
      </c>
      <c r="E159" s="12" t="s">
        <v>28</v>
      </c>
      <c r="F159" s="17">
        <v>0.0</v>
      </c>
      <c r="G159" s="12">
        <v>1.0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44782.0</v>
      </c>
    </row>
    <row r="160" ht="15.75" customHeight="1">
      <c r="A160" s="12">
        <v>456.0</v>
      </c>
      <c r="B160" s="12" t="s">
        <v>27</v>
      </c>
      <c r="C160" s="12">
        <v>15.0</v>
      </c>
      <c r="D160" s="12">
        <v>5.0</v>
      </c>
      <c r="E160" s="12" t="s">
        <v>28</v>
      </c>
      <c r="F160" s="17">
        <v>0.0</v>
      </c>
      <c r="G160" s="12">
        <v>1.0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44782.0</v>
      </c>
    </row>
    <row r="161" ht="15.75" customHeight="1">
      <c r="A161" s="12">
        <v>456.0</v>
      </c>
      <c r="B161" s="12" t="s">
        <v>27</v>
      </c>
      <c r="C161" s="12">
        <v>15.0</v>
      </c>
      <c r="D161" s="12">
        <v>6.0</v>
      </c>
      <c r="E161" s="12" t="s">
        <v>28</v>
      </c>
      <c r="F161" s="17">
        <v>0.0</v>
      </c>
      <c r="G161" s="12">
        <v>1.0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44782.0</v>
      </c>
    </row>
    <row r="162" ht="15.75" customHeight="1">
      <c r="A162" s="12">
        <v>456.0</v>
      </c>
      <c r="B162" s="12" t="s">
        <v>27</v>
      </c>
      <c r="C162" s="12">
        <v>15.0</v>
      </c>
      <c r="D162" s="12">
        <v>7.0</v>
      </c>
      <c r="E162" s="12" t="s">
        <v>28</v>
      </c>
      <c r="F162" s="17">
        <v>0.0</v>
      </c>
      <c r="G162" s="12">
        <v>0.0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44782.0</v>
      </c>
    </row>
    <row r="163" ht="15.75" customHeight="1">
      <c r="A163" s="12">
        <v>456.0</v>
      </c>
      <c r="B163" s="12" t="s">
        <v>27</v>
      </c>
      <c r="C163" s="12">
        <v>15.0</v>
      </c>
      <c r="D163" s="12">
        <v>8.0</v>
      </c>
      <c r="E163" s="12" t="s">
        <v>28</v>
      </c>
      <c r="F163" s="17">
        <v>0.0</v>
      </c>
      <c r="G163" s="12">
        <v>0.0</v>
      </c>
      <c r="H163" s="12">
        <v>0.0</v>
      </c>
      <c r="I163" s="12">
        <v>0.0</v>
      </c>
      <c r="J163" s="12">
        <v>0.0</v>
      </c>
      <c r="K163" s="12">
        <v>1.0</v>
      </c>
      <c r="L163" s="12">
        <v>0.0</v>
      </c>
      <c r="M163" s="12">
        <v>0.0</v>
      </c>
      <c r="N163" s="19">
        <v>1.0</v>
      </c>
      <c r="O163" s="12">
        <v>0.0</v>
      </c>
      <c r="P163" s="12">
        <v>0.0</v>
      </c>
      <c r="Q163" s="12">
        <v>0.0</v>
      </c>
      <c r="R163" s="12">
        <v>0.0</v>
      </c>
      <c r="S163" s="12">
        <v>0.0</v>
      </c>
      <c r="T163" s="12">
        <v>0.0</v>
      </c>
      <c r="U163" s="12">
        <v>0.0</v>
      </c>
      <c r="V163" s="12">
        <v>0.0</v>
      </c>
      <c r="W163" s="19">
        <v>0.0</v>
      </c>
      <c r="X163" s="12">
        <v>36.007885</v>
      </c>
      <c r="Y163" s="12">
        <v>-79.018463</v>
      </c>
      <c r="Z163" s="12" t="s">
        <v>29</v>
      </c>
      <c r="AA163" s="20">
        <v>44782.0</v>
      </c>
    </row>
    <row r="164" ht="15.75" customHeight="1">
      <c r="A164" s="12">
        <v>456.0</v>
      </c>
      <c r="B164" s="12" t="s">
        <v>27</v>
      </c>
      <c r="C164" s="12">
        <v>15.0</v>
      </c>
      <c r="D164" s="12">
        <v>9.0</v>
      </c>
      <c r="E164" s="12" t="s">
        <v>28</v>
      </c>
      <c r="F164" s="17">
        <v>0.0</v>
      </c>
      <c r="G164" s="12">
        <v>1.0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44782.0</v>
      </c>
    </row>
    <row r="165" ht="15.75" customHeight="1">
      <c r="A165" s="12">
        <v>456.0</v>
      </c>
      <c r="B165" s="12" t="s">
        <v>27</v>
      </c>
      <c r="C165" s="12">
        <v>15.0</v>
      </c>
      <c r="D165" s="12">
        <v>10.0</v>
      </c>
      <c r="E165" s="12" t="s">
        <v>28</v>
      </c>
      <c r="F165" s="21">
        <v>0.0</v>
      </c>
      <c r="G165" s="12">
        <v>1.0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44782.0</v>
      </c>
    </row>
    <row r="166" ht="15.75" customHeight="1">
      <c r="A166" s="22">
        <v>456.0</v>
      </c>
      <c r="B166" s="12" t="s">
        <v>27</v>
      </c>
      <c r="C166" s="12">
        <v>15.0</v>
      </c>
      <c r="D166" s="12" t="s">
        <v>28</v>
      </c>
      <c r="E166" s="12">
        <v>10.0</v>
      </c>
      <c r="F166" s="23">
        <f t="shared" ref="F166:N166" si="15">AVERAGE(F156:F165)</f>
        <v>0</v>
      </c>
      <c r="G166" s="24">
        <f t="shared" si="15"/>
        <v>0.5</v>
      </c>
      <c r="H166" s="24">
        <f t="shared" si="15"/>
        <v>0</v>
      </c>
      <c r="I166" s="24">
        <f t="shared" si="15"/>
        <v>0</v>
      </c>
      <c r="J166" s="24">
        <f t="shared" si="15"/>
        <v>0</v>
      </c>
      <c r="K166" s="24">
        <f t="shared" si="15"/>
        <v>0.4</v>
      </c>
      <c r="L166" s="24">
        <f t="shared" si="15"/>
        <v>0</v>
      </c>
      <c r="M166" s="24">
        <f t="shared" si="15"/>
        <v>0.1</v>
      </c>
      <c r="N166" s="25">
        <f t="shared" si="15"/>
        <v>0.3</v>
      </c>
      <c r="O166" s="12">
        <v>0.0</v>
      </c>
      <c r="P166" s="12">
        <v>0.0</v>
      </c>
      <c r="Q166" s="12">
        <v>0.0</v>
      </c>
      <c r="R166" s="12">
        <v>0.0</v>
      </c>
      <c r="S166" s="12">
        <v>0.0</v>
      </c>
      <c r="T166" s="12">
        <v>0.0</v>
      </c>
      <c r="U166" s="12">
        <v>0.0</v>
      </c>
      <c r="V166" s="12">
        <v>0.0</v>
      </c>
      <c r="W166" s="19">
        <v>0.0</v>
      </c>
      <c r="X166" s="12">
        <v>36.007885</v>
      </c>
      <c r="Y166" s="12">
        <v>-79.018463</v>
      </c>
      <c r="Z166" s="12" t="s">
        <v>29</v>
      </c>
      <c r="AA166" s="20">
        <v>44782.0</v>
      </c>
    </row>
    <row r="167" ht="15.75" customHeight="1">
      <c r="A167" s="12">
        <v>457.0</v>
      </c>
      <c r="B167" s="13" t="s">
        <v>27</v>
      </c>
      <c r="C167" s="13">
        <v>16.0</v>
      </c>
      <c r="D167" s="13">
        <v>1.0</v>
      </c>
      <c r="E167" s="13" t="s">
        <v>28</v>
      </c>
      <c r="F167" s="14">
        <v>0.0</v>
      </c>
      <c r="G167" s="13">
        <v>1.0</v>
      </c>
      <c r="H167" s="13">
        <v>0.0</v>
      </c>
      <c r="I167" s="13">
        <v>0.0</v>
      </c>
      <c r="J167" s="13">
        <v>0.0</v>
      </c>
      <c r="K167" s="13">
        <v>0.0</v>
      </c>
      <c r="L167" s="13">
        <v>0.0</v>
      </c>
      <c r="M167" s="13">
        <v>0.0</v>
      </c>
      <c r="N167" s="15">
        <v>0.0</v>
      </c>
      <c r="O167" s="13">
        <v>0.0</v>
      </c>
      <c r="P167" s="13">
        <v>1.0</v>
      </c>
      <c r="Q167" s="13">
        <v>0.0</v>
      </c>
      <c r="R167" s="13">
        <v>0.0</v>
      </c>
      <c r="S167" s="13">
        <v>0.0</v>
      </c>
      <c r="T167" s="13">
        <v>0.0</v>
      </c>
      <c r="U167" s="13">
        <v>0.0</v>
      </c>
      <c r="V167" s="13">
        <v>0.0</v>
      </c>
      <c r="W167" s="15">
        <v>0.0</v>
      </c>
      <c r="X167" s="13">
        <v>36.007713</v>
      </c>
      <c r="Y167" s="13">
        <v>-79.018237</v>
      </c>
      <c r="Z167" s="13" t="s">
        <v>29</v>
      </c>
      <c r="AA167" s="16">
        <v>44782.0</v>
      </c>
    </row>
    <row r="168" ht="15.75" customHeight="1">
      <c r="A168" s="12">
        <v>457.0</v>
      </c>
      <c r="B168" s="12" t="s">
        <v>27</v>
      </c>
      <c r="C168" s="12">
        <v>16.0</v>
      </c>
      <c r="D168" s="12">
        <v>2.0</v>
      </c>
      <c r="E168" s="12" t="s">
        <v>28</v>
      </c>
      <c r="F168" s="17">
        <v>0.0</v>
      </c>
      <c r="G168" s="12">
        <v>1.0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44782.0</v>
      </c>
    </row>
    <row r="169" ht="15.75" customHeight="1">
      <c r="A169" s="12">
        <v>457.0</v>
      </c>
      <c r="B169" s="12" t="s">
        <v>27</v>
      </c>
      <c r="C169" s="12">
        <v>16.0</v>
      </c>
      <c r="D169" s="12">
        <v>3.0</v>
      </c>
      <c r="E169" s="12" t="s">
        <v>28</v>
      </c>
      <c r="F169" s="17">
        <v>0.0</v>
      </c>
      <c r="G169" s="12">
        <v>1.0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44782.0</v>
      </c>
    </row>
    <row r="170" ht="15.75" customHeight="1">
      <c r="A170" s="12">
        <v>457.0</v>
      </c>
      <c r="B170" s="12" t="s">
        <v>27</v>
      </c>
      <c r="C170" s="12">
        <v>16.0</v>
      </c>
      <c r="D170" s="12">
        <v>4.0</v>
      </c>
      <c r="E170" s="12" t="s">
        <v>28</v>
      </c>
      <c r="F170" s="17">
        <v>0.0</v>
      </c>
      <c r="G170" s="12">
        <v>0.0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44782.0</v>
      </c>
    </row>
    <row r="171" ht="15.75" customHeight="1">
      <c r="A171" s="12">
        <v>457.0</v>
      </c>
      <c r="B171" s="12" t="s">
        <v>27</v>
      </c>
      <c r="C171" s="12">
        <v>16.0</v>
      </c>
      <c r="D171" s="12">
        <v>5.0</v>
      </c>
      <c r="E171" s="12" t="s">
        <v>28</v>
      </c>
      <c r="F171" s="17">
        <v>0.0</v>
      </c>
      <c r="G171" s="12">
        <v>0.0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44782.0</v>
      </c>
    </row>
    <row r="172" ht="15.75" customHeight="1">
      <c r="A172" s="12">
        <v>457.0</v>
      </c>
      <c r="B172" s="12" t="s">
        <v>27</v>
      </c>
      <c r="C172" s="12">
        <v>16.0</v>
      </c>
      <c r="D172" s="12">
        <v>6.0</v>
      </c>
      <c r="E172" s="12" t="s">
        <v>28</v>
      </c>
      <c r="F172" s="17">
        <v>0.0</v>
      </c>
      <c r="G172" s="12">
        <v>0.0</v>
      </c>
      <c r="H172" s="12">
        <v>0.0</v>
      </c>
      <c r="I172" s="12">
        <v>0.0</v>
      </c>
      <c r="J172" s="12">
        <v>0.0</v>
      </c>
      <c r="K172" s="12">
        <v>1.0</v>
      </c>
      <c r="L172" s="12">
        <v>0.0</v>
      </c>
      <c r="M172" s="12">
        <v>0.0</v>
      </c>
      <c r="N172" s="19">
        <v>1.0</v>
      </c>
      <c r="O172" s="12">
        <v>0.0</v>
      </c>
      <c r="P172" s="12">
        <v>0.0</v>
      </c>
      <c r="Q172" s="12">
        <v>0.0</v>
      </c>
      <c r="R172" s="12">
        <v>0.0</v>
      </c>
      <c r="S172" s="12">
        <v>0.0</v>
      </c>
      <c r="T172" s="12">
        <v>0.0</v>
      </c>
      <c r="U172" s="12">
        <v>0.0</v>
      </c>
      <c r="V172" s="12">
        <v>0.0</v>
      </c>
      <c r="W172" s="19">
        <v>0.0</v>
      </c>
      <c r="X172" s="12">
        <v>36.007713</v>
      </c>
      <c r="Y172" s="12">
        <v>-79.018237</v>
      </c>
      <c r="Z172" s="12" t="s">
        <v>29</v>
      </c>
      <c r="AA172" s="20">
        <v>44782.0</v>
      </c>
    </row>
    <row r="173" ht="15.75" customHeight="1">
      <c r="A173" s="12">
        <v>457.0</v>
      </c>
      <c r="B173" s="12" t="s">
        <v>27</v>
      </c>
      <c r="C173" s="12">
        <v>16.0</v>
      </c>
      <c r="D173" s="12">
        <v>7.0</v>
      </c>
      <c r="E173" s="12" t="s">
        <v>28</v>
      </c>
      <c r="F173" s="17">
        <v>0.0</v>
      </c>
      <c r="G173" s="12">
        <v>1.0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44782.0</v>
      </c>
    </row>
    <row r="174" ht="15.75"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44782.0</v>
      </c>
    </row>
    <row r="175" ht="15.75" customHeight="1">
      <c r="A175" s="12">
        <v>457.0</v>
      </c>
      <c r="B175" s="12" t="s">
        <v>27</v>
      </c>
      <c r="C175" s="12">
        <v>16.0</v>
      </c>
      <c r="D175" s="12">
        <v>9.0</v>
      </c>
      <c r="E175" s="12" t="s">
        <v>28</v>
      </c>
      <c r="F175" s="17">
        <v>0.0</v>
      </c>
      <c r="G175" s="12">
        <v>1.0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44782.0</v>
      </c>
    </row>
    <row r="176" ht="15.75" customHeight="1">
      <c r="A176" s="12">
        <v>457.0</v>
      </c>
      <c r="B176" s="12" t="s">
        <v>27</v>
      </c>
      <c r="C176" s="12">
        <v>16.0</v>
      </c>
      <c r="D176" s="12">
        <v>10.0</v>
      </c>
      <c r="E176" s="12" t="s">
        <v>28</v>
      </c>
      <c r="F176" s="21">
        <v>0.0</v>
      </c>
      <c r="G176" s="12">
        <v>1.0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44782.0</v>
      </c>
    </row>
    <row r="177" ht="15.75" customHeight="1">
      <c r="A177" s="22">
        <v>457.0</v>
      </c>
      <c r="B177" s="12" t="s">
        <v>27</v>
      </c>
      <c r="C177" s="12">
        <v>16.0</v>
      </c>
      <c r="D177" s="12" t="s">
        <v>28</v>
      </c>
      <c r="E177" s="12">
        <v>7.0</v>
      </c>
      <c r="F177" s="23">
        <f t="shared" ref="F177:N177" si="16">AVERAGE(F167:F176)</f>
        <v>0</v>
      </c>
      <c r="G177" s="24">
        <f t="shared" si="16"/>
        <v>0.6</v>
      </c>
      <c r="H177" s="24">
        <f t="shared" si="16"/>
        <v>0</v>
      </c>
      <c r="I177" s="24">
        <f t="shared" si="16"/>
        <v>0</v>
      </c>
      <c r="J177" s="24">
        <f t="shared" si="16"/>
        <v>0</v>
      </c>
      <c r="K177" s="24">
        <f t="shared" si="16"/>
        <v>0.1</v>
      </c>
      <c r="L177" s="24">
        <f t="shared" si="16"/>
        <v>0</v>
      </c>
      <c r="M177" s="24">
        <f t="shared" si="16"/>
        <v>0</v>
      </c>
      <c r="N177" s="25">
        <f t="shared" si="16"/>
        <v>0.1</v>
      </c>
      <c r="O177" s="12">
        <v>0.0</v>
      </c>
      <c r="P177" s="12">
        <v>0.0</v>
      </c>
      <c r="Q177" s="12">
        <v>0.0</v>
      </c>
      <c r="R177" s="12">
        <v>0.0</v>
      </c>
      <c r="S177" s="12">
        <v>0.0</v>
      </c>
      <c r="T177" s="12">
        <v>0.0</v>
      </c>
      <c r="U177" s="12">
        <v>0.0</v>
      </c>
      <c r="V177" s="12">
        <v>0.0</v>
      </c>
      <c r="W177" s="19">
        <v>0.0</v>
      </c>
      <c r="X177" s="12">
        <v>36.007713</v>
      </c>
      <c r="Y177" s="12">
        <v>-79.018237</v>
      </c>
      <c r="Z177" s="12" t="s">
        <v>29</v>
      </c>
      <c r="AA177" s="20">
        <v>44782.0</v>
      </c>
    </row>
    <row r="178" ht="15.75" customHeight="1">
      <c r="A178" s="12">
        <v>457.0</v>
      </c>
      <c r="B178" s="13" t="s">
        <v>27</v>
      </c>
      <c r="C178" s="13">
        <v>17.0</v>
      </c>
      <c r="D178" s="13">
        <v>1.0</v>
      </c>
      <c r="E178" s="13" t="s">
        <v>28</v>
      </c>
      <c r="F178" s="14">
        <v>0.0</v>
      </c>
      <c r="G178" s="13">
        <v>1.0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44782.0</v>
      </c>
    </row>
    <row r="179" ht="15.75" customHeight="1">
      <c r="A179" s="12">
        <v>457.0</v>
      </c>
      <c r="B179" s="12" t="s">
        <v>27</v>
      </c>
      <c r="C179" s="12">
        <v>17.0</v>
      </c>
      <c r="D179" s="12">
        <v>2.0</v>
      </c>
      <c r="E179" s="12" t="s">
        <v>28</v>
      </c>
      <c r="F179" s="17">
        <v>0.0</v>
      </c>
      <c r="G179" s="12">
        <v>1.0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44782.0</v>
      </c>
    </row>
    <row r="180" ht="15.75" customHeight="1">
      <c r="A180" s="12">
        <v>457.0</v>
      </c>
      <c r="B180" s="12" t="s">
        <v>27</v>
      </c>
      <c r="C180" s="12">
        <v>17.0</v>
      </c>
      <c r="D180" s="12">
        <v>3.0</v>
      </c>
      <c r="E180" s="12" t="s">
        <v>28</v>
      </c>
      <c r="F180" s="17">
        <v>0.0</v>
      </c>
      <c r="G180" s="12">
        <v>0.0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44782.0</v>
      </c>
    </row>
    <row r="181" ht="15.75" customHeight="1">
      <c r="A181" s="12">
        <v>457.0</v>
      </c>
      <c r="B181" s="12" t="s">
        <v>27</v>
      </c>
      <c r="C181" s="12">
        <v>17.0</v>
      </c>
      <c r="D181" s="12">
        <v>4.0</v>
      </c>
      <c r="E181" s="12" t="s">
        <v>28</v>
      </c>
      <c r="F181" s="17">
        <v>0.0</v>
      </c>
      <c r="G181" s="12">
        <v>1.0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44782.0</v>
      </c>
    </row>
    <row r="182" ht="15.75" customHeight="1">
      <c r="A182" s="12">
        <v>457.0</v>
      </c>
      <c r="B182" s="12" t="s">
        <v>27</v>
      </c>
      <c r="C182" s="12">
        <v>17.0</v>
      </c>
      <c r="D182" s="12">
        <v>5.0</v>
      </c>
      <c r="E182" s="12" t="s">
        <v>28</v>
      </c>
      <c r="F182" s="17">
        <v>0.0</v>
      </c>
      <c r="G182" s="12">
        <v>0.0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44782.0</v>
      </c>
    </row>
    <row r="183" ht="15.75" customHeight="1">
      <c r="A183" s="12">
        <v>457.0</v>
      </c>
      <c r="B183" s="12" t="s">
        <v>27</v>
      </c>
      <c r="C183" s="12">
        <v>17.0</v>
      </c>
      <c r="D183" s="12">
        <v>6.0</v>
      </c>
      <c r="E183" s="12" t="s">
        <v>28</v>
      </c>
      <c r="F183" s="17">
        <v>0.0</v>
      </c>
      <c r="G183" s="12">
        <v>1.0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44782.0</v>
      </c>
    </row>
    <row r="184" ht="15.75" customHeight="1">
      <c r="A184" s="12">
        <v>457.0</v>
      </c>
      <c r="B184" s="12" t="s">
        <v>27</v>
      </c>
      <c r="C184" s="12">
        <v>17.0</v>
      </c>
      <c r="D184" s="12">
        <v>7.0</v>
      </c>
      <c r="E184" s="12" t="s">
        <v>28</v>
      </c>
      <c r="F184" s="17">
        <v>0.0</v>
      </c>
      <c r="G184" s="12">
        <v>1.0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44782.0</v>
      </c>
    </row>
    <row r="185" ht="15.75" customHeight="1">
      <c r="A185" s="12">
        <v>457.0</v>
      </c>
      <c r="B185" s="12" t="s">
        <v>27</v>
      </c>
      <c r="C185" s="12">
        <v>17.0</v>
      </c>
      <c r="D185" s="12">
        <v>8.0</v>
      </c>
      <c r="E185" s="12" t="s">
        <v>28</v>
      </c>
      <c r="F185" s="17">
        <v>1.0</v>
      </c>
      <c r="G185" s="12">
        <v>0.0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44782.0</v>
      </c>
    </row>
    <row r="186" ht="15.75" customHeight="1">
      <c r="A186" s="12">
        <v>457.0</v>
      </c>
      <c r="B186" s="12" t="s">
        <v>27</v>
      </c>
      <c r="C186" s="12">
        <v>17.0</v>
      </c>
      <c r="D186" s="12">
        <v>9.0</v>
      </c>
      <c r="E186" s="12" t="s">
        <v>28</v>
      </c>
      <c r="F186" s="17">
        <v>0.0</v>
      </c>
      <c r="G186" s="12">
        <v>0.0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44782.0</v>
      </c>
    </row>
    <row r="187" ht="15.75"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44782.0</v>
      </c>
    </row>
    <row r="188" ht="15.75" customHeight="1">
      <c r="A188" s="22">
        <v>457.0</v>
      </c>
      <c r="B188" s="12" t="s">
        <v>27</v>
      </c>
      <c r="C188" s="12">
        <v>17.0</v>
      </c>
      <c r="D188" s="12" t="s">
        <v>28</v>
      </c>
      <c r="E188" s="12">
        <v>10.0</v>
      </c>
      <c r="F188" s="23">
        <f t="shared" ref="F188:N188" si="17">AVERAGE(F178:F187)</f>
        <v>0.1</v>
      </c>
      <c r="G188" s="24">
        <f t="shared" si="17"/>
        <v>0.6</v>
      </c>
      <c r="H188" s="24">
        <f t="shared" si="17"/>
        <v>0</v>
      </c>
      <c r="I188" s="24">
        <f t="shared" si="17"/>
        <v>0</v>
      </c>
      <c r="J188" s="24">
        <f t="shared" si="17"/>
        <v>0</v>
      </c>
      <c r="K188" s="24">
        <f t="shared" si="17"/>
        <v>0</v>
      </c>
      <c r="L188" s="24">
        <f t="shared" si="17"/>
        <v>0</v>
      </c>
      <c r="M188" s="24">
        <f t="shared" si="17"/>
        <v>0</v>
      </c>
      <c r="N188" s="25">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44782.0</v>
      </c>
    </row>
    <row r="189" ht="15.75" customHeight="1">
      <c r="A189" s="12">
        <v>457.0</v>
      </c>
      <c r="B189" s="13" t="s">
        <v>27</v>
      </c>
      <c r="C189" s="13">
        <v>18.0</v>
      </c>
      <c r="D189" s="13">
        <v>1.0</v>
      </c>
      <c r="E189" s="13" t="s">
        <v>28</v>
      </c>
      <c r="F189" s="14">
        <v>0.0</v>
      </c>
      <c r="G189" s="13">
        <v>1.0</v>
      </c>
      <c r="H189" s="13">
        <v>0.0</v>
      </c>
      <c r="I189" s="13">
        <v>0.0</v>
      </c>
      <c r="J189" s="13">
        <v>0.0</v>
      </c>
      <c r="K189" s="13">
        <v>1.0</v>
      </c>
      <c r="L189" s="13">
        <v>0.0</v>
      </c>
      <c r="M189" s="13">
        <v>0.0</v>
      </c>
      <c r="N189" s="15">
        <v>1.0</v>
      </c>
      <c r="O189" s="13">
        <v>0.0</v>
      </c>
      <c r="P189" s="13">
        <v>0.1</v>
      </c>
      <c r="Q189" s="13">
        <v>0.0</v>
      </c>
      <c r="R189" s="13">
        <v>0.0</v>
      </c>
      <c r="S189" s="13">
        <v>0.0</v>
      </c>
      <c r="T189" s="13">
        <v>0.0</v>
      </c>
      <c r="U189" s="13">
        <v>0.0</v>
      </c>
      <c r="V189" s="13">
        <v>0.0</v>
      </c>
      <c r="W189" s="15">
        <v>1.0</v>
      </c>
      <c r="X189" s="13">
        <v>36.008148</v>
      </c>
      <c r="Y189" s="13">
        <v>-79.018908</v>
      </c>
      <c r="Z189" s="13" t="s">
        <v>29</v>
      </c>
      <c r="AA189" s="16">
        <v>44782.0</v>
      </c>
    </row>
    <row r="190" ht="15.75" customHeight="1">
      <c r="A190" s="12">
        <v>457.0</v>
      </c>
      <c r="B190" s="12" t="s">
        <v>27</v>
      </c>
      <c r="C190" s="12">
        <v>18.0</v>
      </c>
      <c r="D190" s="12">
        <v>2.0</v>
      </c>
      <c r="E190" s="12" t="s">
        <v>28</v>
      </c>
      <c r="F190" s="17">
        <v>0.0</v>
      </c>
      <c r="G190" s="12">
        <v>1.0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44782.0</v>
      </c>
    </row>
    <row r="191" ht="15.75" customHeight="1">
      <c r="A191" s="12">
        <v>457.0</v>
      </c>
      <c r="B191" s="12" t="s">
        <v>27</v>
      </c>
      <c r="C191" s="12">
        <v>18.0</v>
      </c>
      <c r="D191" s="12">
        <v>3.0</v>
      </c>
      <c r="E191" s="12" t="s">
        <v>28</v>
      </c>
      <c r="F191" s="17">
        <v>0.0</v>
      </c>
      <c r="G191" s="12">
        <v>1.0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44782.0</v>
      </c>
    </row>
    <row r="192" ht="15.75" customHeight="1">
      <c r="A192" s="12">
        <v>457.0</v>
      </c>
      <c r="B192" s="12" t="s">
        <v>27</v>
      </c>
      <c r="C192" s="12">
        <v>18.0</v>
      </c>
      <c r="D192" s="12">
        <v>4.0</v>
      </c>
      <c r="E192" s="12" t="s">
        <v>28</v>
      </c>
      <c r="F192" s="17">
        <v>0.0</v>
      </c>
      <c r="G192" s="12">
        <v>1.0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44782.0</v>
      </c>
    </row>
    <row r="193" ht="15.75" customHeight="1">
      <c r="A193" s="12">
        <v>457.0</v>
      </c>
      <c r="B193" s="12" t="s">
        <v>27</v>
      </c>
      <c r="C193" s="12">
        <v>18.0</v>
      </c>
      <c r="D193" s="12">
        <v>5.0</v>
      </c>
      <c r="E193" s="12" t="s">
        <v>28</v>
      </c>
      <c r="F193" s="17">
        <v>0.0</v>
      </c>
      <c r="G193" s="12">
        <v>0.0</v>
      </c>
      <c r="H193" s="12">
        <v>0.0</v>
      </c>
      <c r="I193" s="12">
        <v>0.0</v>
      </c>
      <c r="J193" s="12">
        <v>0.0</v>
      </c>
      <c r="K193" s="12">
        <v>1.0</v>
      </c>
      <c r="L193" s="12">
        <v>0.0</v>
      </c>
      <c r="M193" s="12">
        <v>0.0</v>
      </c>
      <c r="N193" s="19">
        <v>1.0</v>
      </c>
      <c r="O193" s="12">
        <v>0.0</v>
      </c>
      <c r="P193" s="12">
        <v>0.0</v>
      </c>
      <c r="Q193" s="12">
        <v>0.0</v>
      </c>
      <c r="R193" s="12">
        <v>0.0</v>
      </c>
      <c r="S193" s="12">
        <v>0.0</v>
      </c>
      <c r="T193" s="12">
        <v>0.0</v>
      </c>
      <c r="U193" s="12">
        <v>0.0</v>
      </c>
      <c r="V193" s="12">
        <v>0.0</v>
      </c>
      <c r="W193" s="19">
        <v>0.0</v>
      </c>
      <c r="X193" s="12">
        <v>36.008148</v>
      </c>
      <c r="Y193" s="12">
        <v>-79.018908</v>
      </c>
      <c r="Z193" s="12" t="s">
        <v>29</v>
      </c>
      <c r="AA193" s="20">
        <v>44782.0</v>
      </c>
    </row>
    <row r="194" ht="15.75" customHeight="1">
      <c r="A194" s="12">
        <v>457.0</v>
      </c>
      <c r="B194" s="12" t="s">
        <v>27</v>
      </c>
      <c r="C194" s="12">
        <v>18.0</v>
      </c>
      <c r="D194" s="12">
        <v>6.0</v>
      </c>
      <c r="E194" s="12" t="s">
        <v>28</v>
      </c>
      <c r="F194" s="17">
        <v>0.0</v>
      </c>
      <c r="G194" s="12">
        <v>0.0</v>
      </c>
      <c r="H194" s="12">
        <v>0.0</v>
      </c>
      <c r="I194" s="12">
        <v>0.0</v>
      </c>
      <c r="J194" s="12">
        <v>0.0</v>
      </c>
      <c r="K194" s="12">
        <v>1.0</v>
      </c>
      <c r="L194" s="12">
        <v>0.0</v>
      </c>
      <c r="M194" s="12">
        <v>0.0</v>
      </c>
      <c r="N194" s="19">
        <v>1.0</v>
      </c>
      <c r="O194" s="12">
        <v>0.0</v>
      </c>
      <c r="P194" s="12">
        <v>0.0</v>
      </c>
      <c r="Q194" s="12">
        <v>0.0</v>
      </c>
      <c r="R194" s="12">
        <v>0.0</v>
      </c>
      <c r="S194" s="12">
        <v>0.0</v>
      </c>
      <c r="T194" s="12">
        <v>0.0</v>
      </c>
      <c r="U194" s="12">
        <v>0.0</v>
      </c>
      <c r="V194" s="12">
        <v>0.0</v>
      </c>
      <c r="W194" s="19">
        <v>0.0</v>
      </c>
      <c r="X194" s="12">
        <v>36.008148</v>
      </c>
      <c r="Y194" s="12">
        <v>-79.018908</v>
      </c>
      <c r="Z194" s="12" t="s">
        <v>29</v>
      </c>
      <c r="AA194" s="20">
        <v>44782.0</v>
      </c>
    </row>
    <row r="195" ht="15.75" customHeight="1">
      <c r="A195" s="12">
        <v>457.0</v>
      </c>
      <c r="B195" s="12" t="s">
        <v>27</v>
      </c>
      <c r="C195" s="12">
        <v>18.0</v>
      </c>
      <c r="D195" s="12">
        <v>7.0</v>
      </c>
      <c r="E195" s="12" t="s">
        <v>28</v>
      </c>
      <c r="F195" s="17">
        <v>0.0</v>
      </c>
      <c r="G195" s="12">
        <v>1.0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44782.0</v>
      </c>
    </row>
    <row r="196" ht="15.75" customHeight="1">
      <c r="A196" s="12">
        <v>457.0</v>
      </c>
      <c r="B196" s="12" t="s">
        <v>27</v>
      </c>
      <c r="C196" s="12">
        <v>18.0</v>
      </c>
      <c r="D196" s="12">
        <v>8.0</v>
      </c>
      <c r="E196" s="12" t="s">
        <v>28</v>
      </c>
      <c r="F196" s="17">
        <v>0.0</v>
      </c>
      <c r="G196" s="12">
        <v>1.0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44782.0</v>
      </c>
    </row>
    <row r="197" ht="15.75" customHeight="1">
      <c r="A197" s="12">
        <v>457.0</v>
      </c>
      <c r="B197" s="12" t="s">
        <v>27</v>
      </c>
      <c r="C197" s="12">
        <v>18.0</v>
      </c>
      <c r="D197" s="12">
        <v>9.0</v>
      </c>
      <c r="E197" s="12" t="s">
        <v>28</v>
      </c>
      <c r="F197" s="17">
        <v>0.0</v>
      </c>
      <c r="G197" s="12">
        <v>1.0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44782.0</v>
      </c>
    </row>
    <row r="198" ht="15.75" customHeight="1">
      <c r="A198" s="12">
        <v>457.0</v>
      </c>
      <c r="B198" s="12" t="s">
        <v>27</v>
      </c>
      <c r="C198" s="12">
        <v>18.0</v>
      </c>
      <c r="D198" s="12">
        <v>10.0</v>
      </c>
      <c r="E198" s="12" t="s">
        <v>28</v>
      </c>
      <c r="F198" s="21">
        <v>0.0</v>
      </c>
      <c r="G198" s="12">
        <v>1.0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44782.0</v>
      </c>
    </row>
    <row r="199" ht="15.75" customHeight="1">
      <c r="A199" s="22">
        <v>457.0</v>
      </c>
      <c r="B199" s="12" t="s">
        <v>27</v>
      </c>
      <c r="C199" s="12">
        <v>18.0</v>
      </c>
      <c r="D199" s="12" t="s">
        <v>28</v>
      </c>
      <c r="E199" s="12">
        <v>7.0</v>
      </c>
      <c r="F199" s="23">
        <f t="shared" ref="F199:N199" si="18">AVERAGE(F189:F198)</f>
        <v>0</v>
      </c>
      <c r="G199" s="24">
        <f t="shared" si="18"/>
        <v>0.8</v>
      </c>
      <c r="H199" s="24">
        <f t="shared" si="18"/>
        <v>0</v>
      </c>
      <c r="I199" s="24">
        <f t="shared" si="18"/>
        <v>0</v>
      </c>
      <c r="J199" s="24">
        <f t="shared" si="18"/>
        <v>0</v>
      </c>
      <c r="K199" s="24">
        <f t="shared" si="18"/>
        <v>0.3</v>
      </c>
      <c r="L199" s="24">
        <f t="shared" si="18"/>
        <v>0</v>
      </c>
      <c r="M199" s="24">
        <f t="shared" si="18"/>
        <v>0</v>
      </c>
      <c r="N199" s="25">
        <f t="shared" si="18"/>
        <v>0.3</v>
      </c>
      <c r="O199" s="12">
        <v>0.0</v>
      </c>
      <c r="P199" s="12">
        <v>0.0</v>
      </c>
      <c r="Q199" s="12">
        <v>0.0</v>
      </c>
      <c r="R199" s="12">
        <v>0.0</v>
      </c>
      <c r="S199" s="12">
        <v>0.0</v>
      </c>
      <c r="T199" s="12">
        <v>0.0</v>
      </c>
      <c r="U199" s="12">
        <v>0.0</v>
      </c>
      <c r="V199" s="12">
        <v>0.0</v>
      </c>
      <c r="W199" s="19">
        <v>0.0</v>
      </c>
      <c r="X199" s="12">
        <v>36.008148</v>
      </c>
      <c r="Y199" s="12">
        <v>-79.018908</v>
      </c>
      <c r="Z199" s="12" t="s">
        <v>29</v>
      </c>
      <c r="AA199" s="20">
        <v>44782.0</v>
      </c>
    </row>
    <row r="200" ht="15.75" customHeight="1">
      <c r="A200" s="12">
        <v>461.0</v>
      </c>
      <c r="B200" s="13" t="s">
        <v>27</v>
      </c>
      <c r="C200" s="13">
        <v>19.0</v>
      </c>
      <c r="D200" s="13">
        <v>1.0</v>
      </c>
      <c r="E200" s="13" t="s">
        <v>28</v>
      </c>
      <c r="F200" s="14">
        <v>0.0</v>
      </c>
      <c r="G200" s="13">
        <v>1.0</v>
      </c>
      <c r="H200" s="13">
        <v>0.0</v>
      </c>
      <c r="I200" s="13">
        <v>0.0</v>
      </c>
      <c r="J200" s="13">
        <v>0.0</v>
      </c>
      <c r="K200" s="13">
        <v>0.0</v>
      </c>
      <c r="L200" s="13">
        <v>0.0</v>
      </c>
      <c r="M200" s="13">
        <v>0.0</v>
      </c>
      <c r="N200" s="15">
        <v>0.0</v>
      </c>
      <c r="O200" s="13">
        <v>0.0</v>
      </c>
      <c r="P200" s="13">
        <v>1.0</v>
      </c>
      <c r="Q200" s="13">
        <v>0.0</v>
      </c>
      <c r="R200" s="13">
        <v>0.0</v>
      </c>
      <c r="S200" s="13">
        <v>0.0</v>
      </c>
      <c r="T200" s="13">
        <v>0.0</v>
      </c>
      <c r="U200" s="13">
        <v>0.0</v>
      </c>
      <c r="V200" s="13">
        <v>0.0</v>
      </c>
      <c r="W200" s="15">
        <v>0.0</v>
      </c>
      <c r="X200" s="13">
        <v>36.008317</v>
      </c>
      <c r="Y200" s="13">
        <v>-79.019073</v>
      </c>
      <c r="Z200" s="13" t="s">
        <v>29</v>
      </c>
      <c r="AA200" s="16">
        <v>44782.0</v>
      </c>
    </row>
    <row r="201" ht="15.75" customHeight="1">
      <c r="A201" s="12">
        <v>461.0</v>
      </c>
      <c r="B201" s="12" t="s">
        <v>27</v>
      </c>
      <c r="C201" s="12">
        <v>19.0</v>
      </c>
      <c r="D201" s="12">
        <v>2.0</v>
      </c>
      <c r="E201" s="12" t="s">
        <v>28</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44782.0</v>
      </c>
    </row>
    <row r="202" ht="15.75" customHeight="1">
      <c r="A202" s="12">
        <v>461.0</v>
      </c>
      <c r="B202" s="12" t="s">
        <v>27</v>
      </c>
      <c r="C202" s="12">
        <v>19.0</v>
      </c>
      <c r="D202" s="12">
        <v>3.0</v>
      </c>
      <c r="E202" s="12" t="s">
        <v>28</v>
      </c>
      <c r="F202" s="17">
        <v>0.0</v>
      </c>
      <c r="G202" s="12">
        <v>1.0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44782.0</v>
      </c>
    </row>
    <row r="203" ht="15.75" customHeight="1">
      <c r="A203" s="12">
        <v>461.0</v>
      </c>
      <c r="B203" s="12" t="s">
        <v>27</v>
      </c>
      <c r="C203" s="12">
        <v>19.0</v>
      </c>
      <c r="D203" s="12">
        <v>4.0</v>
      </c>
      <c r="E203" s="12" t="s">
        <v>28</v>
      </c>
      <c r="F203" s="17">
        <v>0.0</v>
      </c>
      <c r="G203" s="12">
        <v>1.0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44782.0</v>
      </c>
    </row>
    <row r="204" ht="15.75" customHeight="1">
      <c r="A204" s="12">
        <v>461.0</v>
      </c>
      <c r="B204" s="12" t="s">
        <v>27</v>
      </c>
      <c r="C204" s="12">
        <v>19.0</v>
      </c>
      <c r="D204" s="12">
        <v>5.0</v>
      </c>
      <c r="E204" s="12" t="s">
        <v>28</v>
      </c>
      <c r="F204" s="17">
        <v>0.0</v>
      </c>
      <c r="G204" s="12">
        <v>0.0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44782.0</v>
      </c>
    </row>
    <row r="205" ht="15.75" customHeight="1">
      <c r="A205" s="12">
        <v>461.0</v>
      </c>
      <c r="B205" s="12" t="s">
        <v>27</v>
      </c>
      <c r="C205" s="12">
        <v>19.0</v>
      </c>
      <c r="D205" s="12">
        <v>6.0</v>
      </c>
      <c r="E205" s="12" t="s">
        <v>28</v>
      </c>
      <c r="F205" s="17">
        <v>0.0</v>
      </c>
      <c r="G205" s="12">
        <v>0.0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44782.0</v>
      </c>
    </row>
    <row r="206" ht="15.75" customHeight="1">
      <c r="A206" s="12">
        <v>461.0</v>
      </c>
      <c r="B206" s="12" t="s">
        <v>27</v>
      </c>
      <c r="C206" s="12">
        <v>19.0</v>
      </c>
      <c r="D206" s="12">
        <v>7.0</v>
      </c>
      <c r="E206" s="12" t="s">
        <v>28</v>
      </c>
      <c r="F206" s="17">
        <v>0.0</v>
      </c>
      <c r="G206" s="12">
        <v>1.0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44782.0</v>
      </c>
    </row>
    <row r="207" ht="15.75" customHeight="1">
      <c r="A207" s="12">
        <v>461.0</v>
      </c>
      <c r="B207" s="12" t="s">
        <v>27</v>
      </c>
      <c r="C207" s="12">
        <v>19.0</v>
      </c>
      <c r="D207" s="12">
        <v>8.0</v>
      </c>
      <c r="E207" s="12" t="s">
        <v>28</v>
      </c>
      <c r="F207" s="17">
        <v>0.0</v>
      </c>
      <c r="G207" s="12">
        <v>1.0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44782.0</v>
      </c>
    </row>
    <row r="208" ht="15.75" customHeight="1">
      <c r="A208" s="12">
        <v>461.0</v>
      </c>
      <c r="B208" s="12" t="s">
        <v>27</v>
      </c>
      <c r="C208" s="12">
        <v>19.0</v>
      </c>
      <c r="D208" s="12">
        <v>9.0</v>
      </c>
      <c r="E208" s="12" t="s">
        <v>28</v>
      </c>
      <c r="F208" s="17">
        <v>0.0</v>
      </c>
      <c r="G208" s="12">
        <v>1.0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44782.0</v>
      </c>
    </row>
    <row r="209" ht="15.75" customHeight="1">
      <c r="A209" s="12">
        <v>461.0</v>
      </c>
      <c r="B209" s="12" t="s">
        <v>27</v>
      </c>
      <c r="C209" s="12">
        <v>19.0</v>
      </c>
      <c r="D209" s="12">
        <v>10.0</v>
      </c>
      <c r="E209" s="12" t="s">
        <v>28</v>
      </c>
      <c r="F209" s="21">
        <v>0.0</v>
      </c>
      <c r="G209" s="12">
        <v>0.0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44782.0</v>
      </c>
    </row>
    <row r="210" ht="15.75" customHeight="1">
      <c r="A210" s="22">
        <v>461.0</v>
      </c>
      <c r="B210" s="12" t="s">
        <v>27</v>
      </c>
      <c r="C210" s="12">
        <v>19.0</v>
      </c>
      <c r="D210" s="12" t="s">
        <v>28</v>
      </c>
      <c r="E210" s="12">
        <v>10.0</v>
      </c>
      <c r="F210" s="23">
        <f t="shared" ref="F210:N210" si="19">AVERAGE(F200:F209)</f>
        <v>0</v>
      </c>
      <c r="G210" s="24">
        <f t="shared" si="19"/>
        <v>0.7</v>
      </c>
      <c r="H210" s="24">
        <f t="shared" si="19"/>
        <v>0</v>
      </c>
      <c r="I210" s="24">
        <f t="shared" si="19"/>
        <v>0</v>
      </c>
      <c r="J210" s="24">
        <f t="shared" si="19"/>
        <v>0</v>
      </c>
      <c r="K210" s="24">
        <f t="shared" si="19"/>
        <v>0</v>
      </c>
      <c r="L210" s="24">
        <f t="shared" si="19"/>
        <v>0</v>
      </c>
      <c r="M210" s="24">
        <f t="shared" si="19"/>
        <v>0</v>
      </c>
      <c r="N210" s="25">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44782.0</v>
      </c>
    </row>
    <row r="211" ht="15.75" customHeight="1">
      <c r="A211" s="12">
        <v>478.0</v>
      </c>
      <c r="B211" s="13" t="s">
        <v>27</v>
      </c>
      <c r="C211" s="13">
        <v>20.0</v>
      </c>
      <c r="D211" s="13">
        <v>1.0</v>
      </c>
      <c r="E211" s="13" t="s">
        <v>28</v>
      </c>
      <c r="F211" s="14">
        <v>0.0</v>
      </c>
      <c r="G211" s="13">
        <v>1.0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44782.0</v>
      </c>
    </row>
    <row r="212" ht="15.75" customHeight="1">
      <c r="A212" s="12">
        <v>478.0</v>
      </c>
      <c r="B212" s="12" t="s">
        <v>27</v>
      </c>
      <c r="C212" s="12">
        <v>20.0</v>
      </c>
      <c r="D212" s="12">
        <v>2.0</v>
      </c>
      <c r="E212" s="12" t="s">
        <v>28</v>
      </c>
      <c r="F212" s="17">
        <v>0.0</v>
      </c>
      <c r="G212" s="12">
        <v>1.0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44782.0</v>
      </c>
    </row>
    <row r="213" ht="15.75" customHeight="1">
      <c r="A213" s="12">
        <v>478.0</v>
      </c>
      <c r="B213" s="12" t="s">
        <v>27</v>
      </c>
      <c r="C213" s="12">
        <v>20.0</v>
      </c>
      <c r="D213" s="12">
        <v>3.0</v>
      </c>
      <c r="E213" s="12" t="s">
        <v>28</v>
      </c>
      <c r="F213" s="17">
        <v>0.0</v>
      </c>
      <c r="G213" s="12">
        <v>1.0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44782.0</v>
      </c>
    </row>
    <row r="214" ht="15.75" customHeight="1">
      <c r="A214" s="12">
        <v>478.0</v>
      </c>
      <c r="B214" s="12" t="s">
        <v>27</v>
      </c>
      <c r="C214" s="12">
        <v>20.0</v>
      </c>
      <c r="D214" s="12">
        <v>4.0</v>
      </c>
      <c r="E214" s="12" t="s">
        <v>28</v>
      </c>
      <c r="F214" s="17">
        <v>0.0</v>
      </c>
      <c r="G214" s="12">
        <v>1.0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44782.0</v>
      </c>
    </row>
    <row r="215" ht="15.75" customHeight="1">
      <c r="A215" s="12">
        <v>478.0</v>
      </c>
      <c r="B215" s="12" t="s">
        <v>27</v>
      </c>
      <c r="C215" s="12">
        <v>20.0</v>
      </c>
      <c r="D215" s="12">
        <v>5.0</v>
      </c>
      <c r="E215" s="12" t="s">
        <v>28</v>
      </c>
      <c r="F215" s="17">
        <v>0.0</v>
      </c>
      <c r="G215" s="12">
        <v>1.0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44782.0</v>
      </c>
    </row>
    <row r="216" ht="15.75" customHeight="1">
      <c r="A216" s="12">
        <v>478.0</v>
      </c>
      <c r="B216" s="12" t="s">
        <v>27</v>
      </c>
      <c r="C216" s="12">
        <v>20.0</v>
      </c>
      <c r="D216" s="12">
        <v>6.0</v>
      </c>
      <c r="E216" s="12" t="s">
        <v>28</v>
      </c>
      <c r="F216" s="17">
        <v>0.0</v>
      </c>
      <c r="G216" s="12">
        <v>1.0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44782.0</v>
      </c>
    </row>
    <row r="217" ht="15.75" customHeight="1">
      <c r="A217" s="12">
        <v>478.0</v>
      </c>
      <c r="B217" s="12" t="s">
        <v>27</v>
      </c>
      <c r="C217" s="12">
        <v>20.0</v>
      </c>
      <c r="D217" s="12">
        <v>7.0</v>
      </c>
      <c r="E217" s="12" t="s">
        <v>28</v>
      </c>
      <c r="F217" s="17">
        <v>0.0</v>
      </c>
      <c r="G217" s="12">
        <v>1.0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44782.0</v>
      </c>
    </row>
    <row r="218" ht="15.75"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44782.0</v>
      </c>
    </row>
    <row r="219" ht="15.75" customHeight="1">
      <c r="A219" s="12">
        <v>478.0</v>
      </c>
      <c r="B219" s="12" t="s">
        <v>27</v>
      </c>
      <c r="C219" s="12">
        <v>20.0</v>
      </c>
      <c r="D219" s="12">
        <v>9.0</v>
      </c>
      <c r="E219" s="12" t="s">
        <v>28</v>
      </c>
      <c r="F219" s="17">
        <v>0.0</v>
      </c>
      <c r="G219" s="12">
        <v>0.0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44782.0</v>
      </c>
    </row>
    <row r="220" ht="15.75" customHeight="1">
      <c r="A220" s="12">
        <v>478.0</v>
      </c>
      <c r="B220" s="12" t="s">
        <v>27</v>
      </c>
      <c r="C220" s="12">
        <v>20.0</v>
      </c>
      <c r="D220" s="12">
        <v>10.0</v>
      </c>
      <c r="E220" s="12" t="s">
        <v>28</v>
      </c>
      <c r="F220" s="21">
        <v>0.0</v>
      </c>
      <c r="G220" s="12">
        <v>1.0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44782.0</v>
      </c>
    </row>
    <row r="221" ht="15.75" customHeight="1">
      <c r="A221" s="22">
        <v>478.0</v>
      </c>
      <c r="B221" s="12" t="s">
        <v>27</v>
      </c>
      <c r="C221" s="12">
        <v>20.0</v>
      </c>
      <c r="D221" s="12" t="s">
        <v>28</v>
      </c>
      <c r="E221" s="12">
        <v>5.0</v>
      </c>
      <c r="F221" s="23">
        <f t="shared" ref="F221:N221" si="20">AVERAGE(F211:F220)</f>
        <v>0</v>
      </c>
      <c r="G221" s="24">
        <f t="shared" si="20"/>
        <v>0.9</v>
      </c>
      <c r="H221" s="24">
        <f t="shared" si="20"/>
        <v>0</v>
      </c>
      <c r="I221" s="24">
        <f t="shared" si="20"/>
        <v>0</v>
      </c>
      <c r="J221" s="24">
        <f t="shared" si="20"/>
        <v>0</v>
      </c>
      <c r="K221" s="24">
        <f t="shared" si="20"/>
        <v>0</v>
      </c>
      <c r="L221" s="24">
        <f t="shared" si="20"/>
        <v>0</v>
      </c>
      <c r="M221" s="24">
        <f t="shared" si="20"/>
        <v>0</v>
      </c>
      <c r="N221" s="25">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44782.0</v>
      </c>
    </row>
    <row r="222" ht="15.75" customHeight="1">
      <c r="A222" s="12">
        <v>480.0</v>
      </c>
      <c r="B222" s="13" t="s">
        <v>27</v>
      </c>
      <c r="C222" s="13">
        <v>21.0</v>
      </c>
      <c r="D222" s="13">
        <v>1.0</v>
      </c>
      <c r="E222" s="13" t="s">
        <v>28</v>
      </c>
      <c r="F222" s="14">
        <v>0.0</v>
      </c>
      <c r="G222" s="13">
        <v>0.0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44782.0</v>
      </c>
    </row>
    <row r="223" ht="15.75" customHeight="1">
      <c r="A223" s="12">
        <v>480.0</v>
      </c>
      <c r="B223" s="12" t="s">
        <v>27</v>
      </c>
      <c r="C223" s="12">
        <v>21.0</v>
      </c>
      <c r="D223" s="12">
        <v>2.0</v>
      </c>
      <c r="E223" s="12" t="s">
        <v>28</v>
      </c>
      <c r="F223" s="17">
        <v>0.0</v>
      </c>
      <c r="G223" s="12">
        <v>0.0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44782.0</v>
      </c>
    </row>
    <row r="224" ht="15.75" customHeight="1">
      <c r="A224" s="12">
        <v>480.0</v>
      </c>
      <c r="B224" s="12" t="s">
        <v>27</v>
      </c>
      <c r="C224" s="12">
        <v>21.0</v>
      </c>
      <c r="D224" s="12">
        <v>3.0</v>
      </c>
      <c r="E224" s="12" t="s">
        <v>28</v>
      </c>
      <c r="F224" s="17">
        <v>0.0</v>
      </c>
      <c r="G224" s="12">
        <v>1.0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44782.0</v>
      </c>
    </row>
    <row r="225" ht="15.75" customHeight="1">
      <c r="A225" s="12">
        <v>480.0</v>
      </c>
      <c r="B225" s="12" t="s">
        <v>27</v>
      </c>
      <c r="C225" s="12">
        <v>21.0</v>
      </c>
      <c r="D225" s="12">
        <v>4.0</v>
      </c>
      <c r="E225" s="12" t="s">
        <v>28</v>
      </c>
      <c r="F225" s="17">
        <v>0.0</v>
      </c>
      <c r="G225" s="12">
        <v>0.0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44782.0</v>
      </c>
    </row>
    <row r="226" ht="15.75" customHeight="1">
      <c r="A226" s="12">
        <v>480.0</v>
      </c>
      <c r="B226" s="12" t="s">
        <v>27</v>
      </c>
      <c r="C226" s="12">
        <v>21.0</v>
      </c>
      <c r="D226" s="12">
        <v>5.0</v>
      </c>
      <c r="E226" s="12" t="s">
        <v>28</v>
      </c>
      <c r="F226" s="17">
        <v>0.0</v>
      </c>
      <c r="G226" s="12">
        <v>0.0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44782.0</v>
      </c>
    </row>
    <row r="227" ht="15.75" customHeight="1">
      <c r="A227" s="12">
        <v>480.0</v>
      </c>
      <c r="B227" s="12" t="s">
        <v>27</v>
      </c>
      <c r="C227" s="12">
        <v>21.0</v>
      </c>
      <c r="D227" s="12">
        <v>6.0</v>
      </c>
      <c r="E227" s="12" t="s">
        <v>28</v>
      </c>
      <c r="F227" s="17">
        <v>0.0</v>
      </c>
      <c r="G227" s="12">
        <v>1.0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44782.0</v>
      </c>
    </row>
    <row r="228" ht="15.75" customHeight="1">
      <c r="A228" s="12">
        <v>480.0</v>
      </c>
      <c r="B228" s="12" t="s">
        <v>27</v>
      </c>
      <c r="C228" s="12">
        <v>21.0</v>
      </c>
      <c r="D228" s="12">
        <v>7.0</v>
      </c>
      <c r="E228" s="12" t="s">
        <v>28</v>
      </c>
      <c r="F228" s="17">
        <v>0.0</v>
      </c>
      <c r="G228" s="12">
        <v>1.0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44782.0</v>
      </c>
    </row>
    <row r="229" ht="15.75" customHeight="1">
      <c r="A229" s="12">
        <v>480.0</v>
      </c>
      <c r="B229" s="12" t="s">
        <v>27</v>
      </c>
      <c r="C229" s="12">
        <v>21.0</v>
      </c>
      <c r="D229" s="12">
        <v>8.0</v>
      </c>
      <c r="E229" s="12" t="s">
        <v>28</v>
      </c>
      <c r="F229" s="17">
        <v>0.0</v>
      </c>
      <c r="G229" s="12">
        <v>1.0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44782.0</v>
      </c>
    </row>
    <row r="230" ht="15.75" customHeight="1">
      <c r="A230" s="12">
        <v>480.0</v>
      </c>
      <c r="B230" s="12" t="s">
        <v>27</v>
      </c>
      <c r="C230" s="12">
        <v>21.0</v>
      </c>
      <c r="D230" s="12">
        <v>9.0</v>
      </c>
      <c r="E230" s="12" t="s">
        <v>28</v>
      </c>
      <c r="F230" s="17">
        <v>0.0</v>
      </c>
      <c r="G230" s="12">
        <v>1.0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44782.0</v>
      </c>
    </row>
    <row r="231" ht="15.75" customHeight="1">
      <c r="A231" s="12">
        <v>480.0</v>
      </c>
      <c r="B231" s="12" t="s">
        <v>27</v>
      </c>
      <c r="C231" s="12">
        <v>21.0</v>
      </c>
      <c r="D231" s="12">
        <v>10.0</v>
      </c>
      <c r="E231" s="12" t="s">
        <v>28</v>
      </c>
      <c r="F231" s="21">
        <v>0.0</v>
      </c>
      <c r="G231" s="12">
        <v>1.0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44782.0</v>
      </c>
    </row>
    <row r="232" ht="15.75" customHeight="1">
      <c r="A232" s="22">
        <v>480.0</v>
      </c>
      <c r="B232" s="12" t="s">
        <v>27</v>
      </c>
      <c r="C232" s="12">
        <v>21.0</v>
      </c>
      <c r="D232" s="12" t="s">
        <v>28</v>
      </c>
      <c r="E232" s="12">
        <v>9.0</v>
      </c>
      <c r="F232" s="23">
        <f t="shared" ref="F232:N232" si="21">AVERAGE(F222:F231)</f>
        <v>0</v>
      </c>
      <c r="G232" s="24">
        <f t="shared" si="21"/>
        <v>0.6</v>
      </c>
      <c r="H232" s="24">
        <f t="shared" si="21"/>
        <v>0</v>
      </c>
      <c r="I232" s="24">
        <f t="shared" si="21"/>
        <v>0</v>
      </c>
      <c r="J232" s="24">
        <f t="shared" si="21"/>
        <v>0</v>
      </c>
      <c r="K232" s="24">
        <f t="shared" si="21"/>
        <v>0</v>
      </c>
      <c r="L232" s="24">
        <f t="shared" si="21"/>
        <v>0</v>
      </c>
      <c r="M232" s="24">
        <f t="shared" si="21"/>
        <v>0</v>
      </c>
      <c r="N232" s="25">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44782.0</v>
      </c>
    </row>
    <row r="233" ht="15.75" customHeight="1">
      <c r="A233" s="12">
        <v>480.0</v>
      </c>
      <c r="B233" s="13" t="s">
        <v>27</v>
      </c>
      <c r="C233" s="13">
        <v>22.0</v>
      </c>
      <c r="D233" s="13">
        <v>1.0</v>
      </c>
      <c r="E233" s="13" t="s">
        <v>28</v>
      </c>
      <c r="F233" s="14">
        <v>0.0</v>
      </c>
      <c r="G233" s="13">
        <v>1.0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44782.0</v>
      </c>
    </row>
    <row r="234" ht="15.75" customHeight="1">
      <c r="A234" s="12">
        <v>480.0</v>
      </c>
      <c r="B234" s="12" t="s">
        <v>27</v>
      </c>
      <c r="C234" s="12">
        <v>22.0</v>
      </c>
      <c r="D234" s="12">
        <v>2.0</v>
      </c>
      <c r="E234" s="12" t="s">
        <v>28</v>
      </c>
      <c r="F234" s="17">
        <v>0.0</v>
      </c>
      <c r="G234" s="12">
        <v>1.0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44782.0</v>
      </c>
    </row>
    <row r="235" ht="15.75" customHeight="1">
      <c r="A235" s="12">
        <v>480.0</v>
      </c>
      <c r="B235" s="12" t="s">
        <v>27</v>
      </c>
      <c r="C235" s="12">
        <v>22.0</v>
      </c>
      <c r="D235" s="12">
        <v>3.0</v>
      </c>
      <c r="E235" s="12" t="s">
        <v>28</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44782.0</v>
      </c>
    </row>
    <row r="236" ht="15.75" customHeight="1">
      <c r="A236" s="12">
        <v>480.0</v>
      </c>
      <c r="B236" s="12" t="s">
        <v>27</v>
      </c>
      <c r="C236" s="12">
        <v>22.0</v>
      </c>
      <c r="D236" s="12">
        <v>4.0</v>
      </c>
      <c r="E236" s="12" t="s">
        <v>28</v>
      </c>
      <c r="F236" s="17">
        <v>0.0</v>
      </c>
      <c r="G236" s="12">
        <v>1.0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44782.0</v>
      </c>
    </row>
    <row r="237" ht="15.75" customHeight="1">
      <c r="A237" s="12">
        <v>480.0</v>
      </c>
      <c r="B237" s="12" t="s">
        <v>27</v>
      </c>
      <c r="C237" s="12">
        <v>22.0</v>
      </c>
      <c r="D237" s="12">
        <v>5.0</v>
      </c>
      <c r="E237" s="12" t="s">
        <v>28</v>
      </c>
      <c r="F237" s="17">
        <v>0.0</v>
      </c>
      <c r="G237" s="12">
        <v>0.0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44782.0</v>
      </c>
    </row>
    <row r="238" ht="15.75" customHeight="1">
      <c r="A238" s="12">
        <v>480.0</v>
      </c>
      <c r="B238" s="12" t="s">
        <v>27</v>
      </c>
      <c r="C238" s="12">
        <v>22.0</v>
      </c>
      <c r="D238" s="12">
        <v>6.0</v>
      </c>
      <c r="E238" s="12" t="s">
        <v>28</v>
      </c>
      <c r="F238" s="17">
        <v>0.0</v>
      </c>
      <c r="G238" s="12">
        <v>1.0</v>
      </c>
      <c r="H238" s="12">
        <v>0.0</v>
      </c>
      <c r="I238" s="12">
        <v>0.0</v>
      </c>
      <c r="J238" s="12">
        <v>0.0</v>
      </c>
      <c r="K238" s="12">
        <v>1.0</v>
      </c>
      <c r="L238" s="12">
        <v>1.0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44782.0</v>
      </c>
    </row>
    <row r="239" ht="15.75" customHeight="1">
      <c r="A239" s="12">
        <v>480.0</v>
      </c>
      <c r="B239" s="12" t="s">
        <v>27</v>
      </c>
      <c r="C239" s="12">
        <v>22.0</v>
      </c>
      <c r="D239" s="12">
        <v>7.0</v>
      </c>
      <c r="E239" s="12" t="s">
        <v>28</v>
      </c>
      <c r="F239" s="17">
        <v>0.0</v>
      </c>
      <c r="G239" s="12">
        <v>1.0</v>
      </c>
      <c r="H239" s="12">
        <v>0.0</v>
      </c>
      <c r="I239" s="12">
        <v>0.0</v>
      </c>
      <c r="J239" s="12">
        <v>0.0</v>
      </c>
      <c r="K239" s="12">
        <v>1.0</v>
      </c>
      <c r="L239" s="12">
        <v>0.0</v>
      </c>
      <c r="M239" s="12">
        <v>0.0</v>
      </c>
      <c r="N239" s="19">
        <v>1.0</v>
      </c>
      <c r="O239" s="12">
        <v>0.0</v>
      </c>
      <c r="P239" s="12">
        <v>0.0</v>
      </c>
      <c r="Q239" s="12">
        <v>0.0</v>
      </c>
      <c r="R239" s="12">
        <v>0.0</v>
      </c>
      <c r="S239" s="12">
        <v>0.0</v>
      </c>
      <c r="T239" s="12">
        <v>0.0</v>
      </c>
      <c r="U239" s="12">
        <v>0.0</v>
      </c>
      <c r="V239" s="12">
        <v>0.0</v>
      </c>
      <c r="W239" s="19">
        <v>0.0</v>
      </c>
      <c r="X239" s="12">
        <v>36.007948</v>
      </c>
      <c r="Y239" s="12">
        <v>-79.018923</v>
      </c>
      <c r="Z239" s="12" t="s">
        <v>29</v>
      </c>
      <c r="AA239" s="20">
        <v>44782.0</v>
      </c>
    </row>
    <row r="240" ht="15.75"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44782.0</v>
      </c>
    </row>
    <row r="241" ht="15.75" customHeight="1">
      <c r="A241" s="12">
        <v>480.0</v>
      </c>
      <c r="B241" s="12" t="s">
        <v>27</v>
      </c>
      <c r="C241" s="12">
        <v>22.0</v>
      </c>
      <c r="D241" s="12">
        <v>9.0</v>
      </c>
      <c r="E241" s="12" t="s">
        <v>28</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44782.0</v>
      </c>
    </row>
    <row r="242" ht="15.75" customHeight="1">
      <c r="A242" s="12">
        <v>480.0</v>
      </c>
      <c r="B242" s="12" t="s">
        <v>27</v>
      </c>
      <c r="C242" s="12">
        <v>22.0</v>
      </c>
      <c r="D242" s="12">
        <v>10.0</v>
      </c>
      <c r="E242" s="12" t="s">
        <v>28</v>
      </c>
      <c r="F242" s="21">
        <v>0.0</v>
      </c>
      <c r="G242" s="12">
        <v>1.0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44782.0</v>
      </c>
    </row>
    <row r="243" ht="15.75" customHeight="1">
      <c r="A243" s="22">
        <v>480.0</v>
      </c>
      <c r="B243" s="12" t="s">
        <v>27</v>
      </c>
      <c r="C243" s="12">
        <v>22.0</v>
      </c>
      <c r="D243" s="12" t="s">
        <v>28</v>
      </c>
      <c r="E243" s="12">
        <v>8.0</v>
      </c>
      <c r="F243" s="23">
        <f t="shared" ref="F243:N243" si="22">AVERAGE(F233:F242)</f>
        <v>0</v>
      </c>
      <c r="G243" s="24">
        <f t="shared" si="22"/>
        <v>0.6</v>
      </c>
      <c r="H243" s="24">
        <f t="shared" si="22"/>
        <v>0</v>
      </c>
      <c r="I243" s="24">
        <f t="shared" si="22"/>
        <v>0</v>
      </c>
      <c r="J243" s="24">
        <f t="shared" si="22"/>
        <v>0</v>
      </c>
      <c r="K243" s="24">
        <f t="shared" si="22"/>
        <v>0.2</v>
      </c>
      <c r="L243" s="24">
        <f t="shared" si="22"/>
        <v>0.1</v>
      </c>
      <c r="M243" s="24">
        <f t="shared" si="22"/>
        <v>0</v>
      </c>
      <c r="N243" s="25">
        <f t="shared" si="22"/>
        <v>0.1</v>
      </c>
      <c r="O243" s="12">
        <v>0.0</v>
      </c>
      <c r="P243" s="12">
        <v>0.0</v>
      </c>
      <c r="Q243" s="12">
        <v>0.0</v>
      </c>
      <c r="R243" s="12">
        <v>0.0</v>
      </c>
      <c r="S243" s="12">
        <v>0.0</v>
      </c>
      <c r="T243" s="12">
        <v>0.0</v>
      </c>
      <c r="U243" s="12">
        <v>0.0</v>
      </c>
      <c r="V243" s="12">
        <v>0.0</v>
      </c>
      <c r="W243" s="19">
        <v>0.0</v>
      </c>
      <c r="X243" s="12">
        <v>36.007948</v>
      </c>
      <c r="Y243" s="12">
        <v>-79.018923</v>
      </c>
      <c r="Z243" s="12" t="s">
        <v>29</v>
      </c>
      <c r="AA243" s="20">
        <v>44782.0</v>
      </c>
    </row>
    <row r="244" ht="15.75" customHeight="1">
      <c r="A244" s="12">
        <v>483.0</v>
      </c>
      <c r="B244" s="13" t="s">
        <v>27</v>
      </c>
      <c r="C244" s="13">
        <v>23.0</v>
      </c>
      <c r="D244" s="13">
        <v>1.0</v>
      </c>
      <c r="E244" s="13" t="s">
        <v>28</v>
      </c>
      <c r="F244" s="14">
        <v>0.0</v>
      </c>
      <c r="G244" s="13">
        <v>0.0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44782.0</v>
      </c>
    </row>
    <row r="245" ht="15.75" customHeight="1">
      <c r="A245" s="12">
        <v>483.0</v>
      </c>
      <c r="B245" s="12" t="s">
        <v>27</v>
      </c>
      <c r="C245" s="12">
        <v>23.0</v>
      </c>
      <c r="D245" s="12">
        <v>2.0</v>
      </c>
      <c r="E245" s="12" t="s">
        <v>28</v>
      </c>
      <c r="F245" s="17">
        <v>0.0</v>
      </c>
      <c r="G245" s="12">
        <v>0.0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44782.0</v>
      </c>
    </row>
    <row r="246" ht="15.75" customHeight="1">
      <c r="A246" s="12">
        <v>483.0</v>
      </c>
      <c r="B246" s="12" t="s">
        <v>27</v>
      </c>
      <c r="C246" s="12">
        <v>23.0</v>
      </c>
      <c r="D246" s="12">
        <v>3.0</v>
      </c>
      <c r="E246" s="12" t="s">
        <v>28</v>
      </c>
      <c r="F246" s="17">
        <v>0.0</v>
      </c>
      <c r="G246" s="12">
        <v>1.0</v>
      </c>
      <c r="H246" s="12">
        <v>0.0</v>
      </c>
      <c r="I246" s="12">
        <v>0.0</v>
      </c>
      <c r="J246" s="12">
        <v>0.0</v>
      </c>
      <c r="K246" s="12">
        <v>1.0</v>
      </c>
      <c r="L246" s="12">
        <v>1.0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44782.0</v>
      </c>
    </row>
    <row r="247" ht="15.75" customHeight="1">
      <c r="A247" s="12">
        <v>483.0</v>
      </c>
      <c r="B247" s="12" t="s">
        <v>27</v>
      </c>
      <c r="C247" s="12">
        <v>23.0</v>
      </c>
      <c r="D247" s="12">
        <v>4.0</v>
      </c>
      <c r="E247" s="12" t="s">
        <v>28</v>
      </c>
      <c r="F247" s="17">
        <v>0.0</v>
      </c>
      <c r="G247" s="12">
        <v>1.0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44782.0</v>
      </c>
    </row>
    <row r="248" ht="15.75" customHeight="1">
      <c r="A248" s="12">
        <v>483.0</v>
      </c>
      <c r="B248" s="12" t="s">
        <v>27</v>
      </c>
      <c r="C248" s="12">
        <v>23.0</v>
      </c>
      <c r="D248" s="12">
        <v>5.0</v>
      </c>
      <c r="E248" s="12" t="s">
        <v>28</v>
      </c>
      <c r="F248" s="17">
        <v>0.0</v>
      </c>
      <c r="G248" s="12">
        <v>0.0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44782.0</v>
      </c>
    </row>
    <row r="249" ht="15.75" customHeight="1">
      <c r="A249" s="12">
        <v>483.0</v>
      </c>
      <c r="B249" s="12" t="s">
        <v>27</v>
      </c>
      <c r="C249" s="12">
        <v>23.0</v>
      </c>
      <c r="D249" s="12">
        <v>6.0</v>
      </c>
      <c r="E249" s="12" t="s">
        <v>28</v>
      </c>
      <c r="F249" s="17">
        <v>0.0</v>
      </c>
      <c r="G249" s="12">
        <v>1.0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44782.0</v>
      </c>
    </row>
    <row r="250" ht="15.75" customHeight="1">
      <c r="A250" s="12">
        <v>483.0</v>
      </c>
      <c r="B250" s="12" t="s">
        <v>27</v>
      </c>
      <c r="C250" s="12">
        <v>23.0</v>
      </c>
      <c r="D250" s="12">
        <v>7.0</v>
      </c>
      <c r="E250" s="12" t="s">
        <v>28</v>
      </c>
      <c r="F250" s="17">
        <v>0.0</v>
      </c>
      <c r="G250" s="12">
        <v>1.0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44782.0</v>
      </c>
    </row>
    <row r="251" ht="15.75" customHeight="1">
      <c r="A251" s="12">
        <v>483.0</v>
      </c>
      <c r="B251" s="12" t="s">
        <v>27</v>
      </c>
      <c r="C251" s="12">
        <v>23.0</v>
      </c>
      <c r="D251" s="12">
        <v>8.0</v>
      </c>
      <c r="E251" s="12" t="s">
        <v>28</v>
      </c>
      <c r="F251" s="17">
        <v>0.0</v>
      </c>
      <c r="G251" s="12">
        <v>1.0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44782.0</v>
      </c>
    </row>
    <row r="252" ht="15.75" customHeight="1">
      <c r="A252" s="12">
        <v>483.0</v>
      </c>
      <c r="B252" s="12" t="s">
        <v>27</v>
      </c>
      <c r="C252" s="12">
        <v>23.0</v>
      </c>
      <c r="D252" s="12">
        <v>9.0</v>
      </c>
      <c r="E252" s="12" t="s">
        <v>28</v>
      </c>
      <c r="F252" s="17">
        <v>0.0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44782.0</v>
      </c>
    </row>
    <row r="253" ht="15.75" customHeight="1">
      <c r="A253" s="12">
        <v>483.0</v>
      </c>
      <c r="B253" s="12" t="s">
        <v>27</v>
      </c>
      <c r="C253" s="12">
        <v>23.0</v>
      </c>
      <c r="D253" s="12">
        <v>10.0</v>
      </c>
      <c r="E253" s="12" t="s">
        <v>28</v>
      </c>
      <c r="F253" s="21">
        <v>0.0</v>
      </c>
      <c r="G253" s="12">
        <v>0.0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44782.0</v>
      </c>
    </row>
    <row r="254" ht="15.75" customHeight="1">
      <c r="A254" s="22">
        <v>483.0</v>
      </c>
      <c r="B254" s="12" t="s">
        <v>27</v>
      </c>
      <c r="C254" s="12">
        <v>23.0</v>
      </c>
      <c r="D254" s="12" t="s">
        <v>28</v>
      </c>
      <c r="E254" s="12">
        <v>16.0</v>
      </c>
      <c r="F254" s="23">
        <f t="shared" ref="F254:N254" si="23">AVERAGE(F244:F253)</f>
        <v>0</v>
      </c>
      <c r="G254" s="24">
        <f t="shared" si="23"/>
        <v>0.5</v>
      </c>
      <c r="H254" s="24">
        <f t="shared" si="23"/>
        <v>0</v>
      </c>
      <c r="I254" s="24">
        <f t="shared" si="23"/>
        <v>0</v>
      </c>
      <c r="J254" s="24">
        <f t="shared" si="23"/>
        <v>0</v>
      </c>
      <c r="K254" s="24">
        <f t="shared" si="23"/>
        <v>0.1</v>
      </c>
      <c r="L254" s="24">
        <f t="shared" si="23"/>
        <v>0.1</v>
      </c>
      <c r="M254" s="24">
        <f t="shared" si="23"/>
        <v>0</v>
      </c>
      <c r="N254" s="25">
        <f t="shared" si="23"/>
        <v>0</v>
      </c>
      <c r="O254" s="12">
        <v>0.0</v>
      </c>
      <c r="P254" s="12">
        <v>0.0</v>
      </c>
      <c r="Q254" s="12">
        <v>0.0</v>
      </c>
      <c r="R254" s="12">
        <v>0.0</v>
      </c>
      <c r="S254" s="12">
        <v>0.0</v>
      </c>
      <c r="T254" s="12">
        <v>0.0</v>
      </c>
      <c r="U254" s="12">
        <v>0.0</v>
      </c>
      <c r="V254" s="12">
        <v>0.0</v>
      </c>
      <c r="W254" s="19">
        <v>0.0</v>
      </c>
      <c r="X254" s="12">
        <v>36.007767</v>
      </c>
      <c r="Y254" s="12">
        <v>-79.018917</v>
      </c>
      <c r="Z254" s="12" t="s">
        <v>29</v>
      </c>
      <c r="AA254" s="20">
        <v>44782.0</v>
      </c>
    </row>
    <row r="255" ht="15.75" customHeight="1">
      <c r="A255" s="12">
        <v>483.0</v>
      </c>
      <c r="B255" s="13" t="s">
        <v>27</v>
      </c>
      <c r="C255" s="13">
        <v>24.0</v>
      </c>
      <c r="D255" s="13">
        <v>1.0</v>
      </c>
      <c r="E255" s="13" t="s">
        <v>28</v>
      </c>
      <c r="F255" s="14">
        <v>0.0</v>
      </c>
      <c r="G255" s="13">
        <v>0.0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44782.0</v>
      </c>
    </row>
    <row r="256" ht="15.75" customHeight="1">
      <c r="A256" s="12">
        <v>483.0</v>
      </c>
      <c r="B256" s="12" t="s">
        <v>27</v>
      </c>
      <c r="C256" s="12">
        <v>24.0</v>
      </c>
      <c r="D256" s="12">
        <v>2.0</v>
      </c>
      <c r="E256" s="12" t="s">
        <v>28</v>
      </c>
      <c r="F256" s="17">
        <v>0.0</v>
      </c>
      <c r="G256" s="12">
        <v>0.0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44782.0</v>
      </c>
    </row>
    <row r="257" ht="15.75" customHeight="1">
      <c r="A257" s="12">
        <v>483.0</v>
      </c>
      <c r="B257" s="12" t="s">
        <v>27</v>
      </c>
      <c r="C257" s="12">
        <v>24.0</v>
      </c>
      <c r="D257" s="12">
        <v>3.0</v>
      </c>
      <c r="E257" s="12" t="s">
        <v>28</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44782.0</v>
      </c>
    </row>
    <row r="258" ht="15.75" customHeight="1">
      <c r="A258" s="12">
        <v>483.0</v>
      </c>
      <c r="B258" s="12" t="s">
        <v>27</v>
      </c>
      <c r="C258" s="12">
        <v>24.0</v>
      </c>
      <c r="D258" s="12">
        <v>4.0</v>
      </c>
      <c r="E258" s="12" t="s">
        <v>28</v>
      </c>
      <c r="F258" s="17">
        <v>0.0</v>
      </c>
      <c r="G258" s="12">
        <v>1.0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44782.0</v>
      </c>
    </row>
    <row r="259" ht="15.75" customHeight="1">
      <c r="A259" s="12">
        <v>483.0</v>
      </c>
      <c r="B259" s="12" t="s">
        <v>27</v>
      </c>
      <c r="C259" s="12">
        <v>24.0</v>
      </c>
      <c r="D259" s="12">
        <v>5.0</v>
      </c>
      <c r="E259" s="12" t="s">
        <v>28</v>
      </c>
      <c r="F259" s="17">
        <v>1.0</v>
      </c>
      <c r="G259" s="12">
        <v>0.0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44782.0</v>
      </c>
    </row>
    <row r="260" ht="15.75" customHeight="1">
      <c r="A260" s="12">
        <v>483.0</v>
      </c>
      <c r="B260" s="12" t="s">
        <v>27</v>
      </c>
      <c r="C260" s="12">
        <v>24.0</v>
      </c>
      <c r="D260" s="12">
        <v>6.0</v>
      </c>
      <c r="E260" s="12" t="s">
        <v>28</v>
      </c>
      <c r="F260" s="17">
        <v>0.0</v>
      </c>
      <c r="G260" s="12">
        <v>0.0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44782.0</v>
      </c>
    </row>
    <row r="261" ht="15.75" customHeight="1">
      <c r="A261" s="12">
        <v>483.0</v>
      </c>
      <c r="B261" s="12" t="s">
        <v>27</v>
      </c>
      <c r="C261" s="12">
        <v>24.0</v>
      </c>
      <c r="D261" s="12">
        <v>7.0</v>
      </c>
      <c r="E261" s="12" t="s">
        <v>28</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44782.0</v>
      </c>
    </row>
    <row r="262" ht="15.75" customHeight="1">
      <c r="A262" s="12">
        <v>483.0</v>
      </c>
      <c r="B262" s="12" t="s">
        <v>27</v>
      </c>
      <c r="C262" s="12">
        <v>24.0</v>
      </c>
      <c r="D262" s="12">
        <v>8.0</v>
      </c>
      <c r="E262" s="12" t="s">
        <v>28</v>
      </c>
      <c r="F262" s="17">
        <v>0.0</v>
      </c>
      <c r="G262" s="12">
        <v>1.0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44782.0</v>
      </c>
    </row>
    <row r="263" ht="15.75" customHeight="1">
      <c r="A263" s="12">
        <v>483.0</v>
      </c>
      <c r="B263" s="12" t="s">
        <v>27</v>
      </c>
      <c r="C263" s="12">
        <v>24.0</v>
      </c>
      <c r="D263" s="12">
        <v>9.0</v>
      </c>
      <c r="E263" s="12" t="s">
        <v>28</v>
      </c>
      <c r="F263" s="17">
        <v>1.0</v>
      </c>
      <c r="G263" s="12">
        <v>1.0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44782.0</v>
      </c>
    </row>
    <row r="264" ht="15.75" customHeight="1">
      <c r="A264" s="12">
        <v>483.0</v>
      </c>
      <c r="B264" s="12" t="s">
        <v>27</v>
      </c>
      <c r="C264" s="12">
        <v>24.0</v>
      </c>
      <c r="D264" s="12">
        <v>10.0</v>
      </c>
      <c r="E264" s="12" t="s">
        <v>28</v>
      </c>
      <c r="F264" s="21">
        <v>1.0</v>
      </c>
      <c r="G264" s="12">
        <v>1.0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44782.0</v>
      </c>
    </row>
    <row r="265" ht="15.75" customHeight="1">
      <c r="A265" s="22">
        <v>483.0</v>
      </c>
      <c r="B265" s="12" t="s">
        <v>27</v>
      </c>
      <c r="C265" s="12">
        <v>24.0</v>
      </c>
      <c r="D265" s="12" t="s">
        <v>28</v>
      </c>
      <c r="E265" s="12">
        <v>9.0</v>
      </c>
      <c r="F265" s="23">
        <f t="shared" ref="F265:N265" si="24">AVERAGE(F255:F264)</f>
        <v>0.3</v>
      </c>
      <c r="G265" s="24">
        <f t="shared" si="24"/>
        <v>0.5</v>
      </c>
      <c r="H265" s="24">
        <f t="shared" si="24"/>
        <v>0</v>
      </c>
      <c r="I265" s="24">
        <f t="shared" si="24"/>
        <v>0</v>
      </c>
      <c r="J265" s="24">
        <f t="shared" si="24"/>
        <v>0</v>
      </c>
      <c r="K265" s="24">
        <f t="shared" si="24"/>
        <v>0</v>
      </c>
      <c r="L265" s="24">
        <f t="shared" si="24"/>
        <v>0</v>
      </c>
      <c r="M265" s="24">
        <f t="shared" si="24"/>
        <v>0</v>
      </c>
      <c r="N265" s="25">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44782.0</v>
      </c>
    </row>
    <row r="266" ht="15.75" customHeight="1">
      <c r="A266" s="12">
        <v>487.0</v>
      </c>
      <c r="B266" s="13" t="s">
        <v>27</v>
      </c>
      <c r="C266" s="13">
        <v>25.0</v>
      </c>
      <c r="D266" s="13">
        <v>1.0</v>
      </c>
      <c r="E266" s="13" t="s">
        <v>28</v>
      </c>
      <c r="F266" s="14">
        <v>0.0</v>
      </c>
      <c r="G266" s="13">
        <v>0.0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44782.0</v>
      </c>
    </row>
    <row r="267" ht="15.75" customHeight="1">
      <c r="A267" s="12">
        <v>487.0</v>
      </c>
      <c r="B267" s="12" t="s">
        <v>27</v>
      </c>
      <c r="C267" s="12">
        <v>25.0</v>
      </c>
      <c r="D267" s="12">
        <v>2.0</v>
      </c>
      <c r="E267" s="12" t="s">
        <v>28</v>
      </c>
      <c r="F267" s="17">
        <v>0.0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44782.0</v>
      </c>
    </row>
    <row r="268" ht="15.75" customHeight="1">
      <c r="A268" s="12">
        <v>487.0</v>
      </c>
      <c r="B268" s="12" t="s">
        <v>27</v>
      </c>
      <c r="C268" s="12">
        <v>25.0</v>
      </c>
      <c r="D268" s="12">
        <v>3.0</v>
      </c>
      <c r="E268" s="12" t="s">
        <v>28</v>
      </c>
      <c r="F268" s="17">
        <v>0.0</v>
      </c>
      <c r="G268" s="12">
        <v>0.0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44782.0</v>
      </c>
    </row>
    <row r="269" ht="15.75" customHeight="1">
      <c r="A269" s="12">
        <v>487.0</v>
      </c>
      <c r="B269" s="12" t="s">
        <v>27</v>
      </c>
      <c r="C269" s="12">
        <v>25.0</v>
      </c>
      <c r="D269" s="12">
        <v>4.0</v>
      </c>
      <c r="E269" s="12" t="s">
        <v>28</v>
      </c>
      <c r="F269" s="17">
        <v>0.0</v>
      </c>
      <c r="G269" s="12">
        <v>0.0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44782.0</v>
      </c>
    </row>
    <row r="270" ht="15.75"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44782.0</v>
      </c>
    </row>
    <row r="271" ht="15.75" customHeight="1">
      <c r="A271" s="12">
        <v>487.0</v>
      </c>
      <c r="B271" s="12" t="s">
        <v>27</v>
      </c>
      <c r="C271" s="12">
        <v>25.0</v>
      </c>
      <c r="D271" s="12">
        <v>6.0</v>
      </c>
      <c r="E271" s="12" t="s">
        <v>28</v>
      </c>
      <c r="F271" s="17">
        <v>0.0</v>
      </c>
      <c r="G271" s="12">
        <v>1.0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44782.0</v>
      </c>
    </row>
    <row r="272" ht="15.75" customHeight="1">
      <c r="A272" s="12">
        <v>487.0</v>
      </c>
      <c r="B272" s="12" t="s">
        <v>27</v>
      </c>
      <c r="C272" s="12">
        <v>25.0</v>
      </c>
      <c r="D272" s="12">
        <v>7.0</v>
      </c>
      <c r="E272" s="12" t="s">
        <v>28</v>
      </c>
      <c r="F272" s="17">
        <v>0.0</v>
      </c>
      <c r="G272" s="12">
        <v>1.0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44782.0</v>
      </c>
    </row>
    <row r="273" ht="15.75" customHeight="1">
      <c r="A273" s="12">
        <v>487.0</v>
      </c>
      <c r="B273" s="12" t="s">
        <v>27</v>
      </c>
      <c r="C273" s="12">
        <v>25.0</v>
      </c>
      <c r="D273" s="12">
        <v>8.0</v>
      </c>
      <c r="E273" s="12" t="s">
        <v>28</v>
      </c>
      <c r="F273" s="17">
        <v>0.0</v>
      </c>
      <c r="G273" s="12">
        <v>1.0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44782.0</v>
      </c>
    </row>
    <row r="274" ht="15.75" customHeight="1">
      <c r="A274" s="12">
        <v>487.0</v>
      </c>
      <c r="B274" s="12" t="s">
        <v>27</v>
      </c>
      <c r="C274" s="12">
        <v>25.0</v>
      </c>
      <c r="D274" s="12">
        <v>9.0</v>
      </c>
      <c r="E274" s="12" t="s">
        <v>28</v>
      </c>
      <c r="F274" s="17">
        <v>0.0</v>
      </c>
      <c r="G274" s="12">
        <v>0.0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44782.0</v>
      </c>
    </row>
    <row r="275" ht="15.75" customHeight="1">
      <c r="A275" s="12">
        <v>487.0</v>
      </c>
      <c r="B275" s="12" t="s">
        <v>27</v>
      </c>
      <c r="C275" s="12">
        <v>25.0</v>
      </c>
      <c r="D275" s="12">
        <v>10.0</v>
      </c>
      <c r="E275" s="12" t="s">
        <v>28</v>
      </c>
      <c r="F275" s="21">
        <v>0.0</v>
      </c>
      <c r="G275" s="12">
        <v>1.0</v>
      </c>
      <c r="H275" s="12">
        <v>0.0</v>
      </c>
      <c r="I275" s="12">
        <v>0.0</v>
      </c>
      <c r="J275" s="12">
        <v>0.0</v>
      </c>
      <c r="K275" s="12">
        <v>1.0</v>
      </c>
      <c r="L275" s="12">
        <v>1.0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44782.0</v>
      </c>
    </row>
    <row r="276" ht="15.75" customHeight="1">
      <c r="A276" s="22">
        <v>487.0</v>
      </c>
      <c r="B276" s="12" t="s">
        <v>27</v>
      </c>
      <c r="C276" s="12">
        <v>25.0</v>
      </c>
      <c r="D276" s="12" t="s">
        <v>28</v>
      </c>
      <c r="E276" s="12">
        <v>17.0</v>
      </c>
      <c r="F276" s="23">
        <f t="shared" ref="F276:N276" si="25">AVERAGE(F266:F275)</f>
        <v>0</v>
      </c>
      <c r="G276" s="24">
        <f t="shared" si="25"/>
        <v>0.4</v>
      </c>
      <c r="H276" s="24">
        <f t="shared" si="25"/>
        <v>0</v>
      </c>
      <c r="I276" s="24">
        <f t="shared" si="25"/>
        <v>0</v>
      </c>
      <c r="J276" s="24">
        <f t="shared" si="25"/>
        <v>0</v>
      </c>
      <c r="K276" s="24">
        <f t="shared" si="25"/>
        <v>0.1</v>
      </c>
      <c r="L276" s="24">
        <f t="shared" si="25"/>
        <v>0.1</v>
      </c>
      <c r="M276" s="24">
        <f t="shared" si="25"/>
        <v>0</v>
      </c>
      <c r="N276" s="25">
        <f t="shared" si="25"/>
        <v>0</v>
      </c>
      <c r="O276" s="12">
        <v>0.0</v>
      </c>
      <c r="P276" s="12">
        <v>0.0</v>
      </c>
      <c r="Q276" s="12">
        <v>0.0</v>
      </c>
      <c r="R276" s="12">
        <v>0.0</v>
      </c>
      <c r="S276" s="12">
        <v>0.0</v>
      </c>
      <c r="T276" s="12">
        <v>0.0</v>
      </c>
      <c r="U276" s="12">
        <v>0.0</v>
      </c>
      <c r="V276" s="12">
        <v>0.0</v>
      </c>
      <c r="W276" s="19">
        <v>0.0</v>
      </c>
      <c r="X276" s="12">
        <v>36.007315</v>
      </c>
      <c r="Y276" s="12">
        <v>-79.01904</v>
      </c>
      <c r="Z276" s="12" t="s">
        <v>29</v>
      </c>
      <c r="AA276" s="20">
        <v>44782.0</v>
      </c>
    </row>
    <row r="277" ht="15.75" customHeight="1">
      <c r="A277" s="12">
        <v>483.0</v>
      </c>
      <c r="B277" s="13" t="s">
        <v>27</v>
      </c>
      <c r="C277" s="13">
        <v>36.0</v>
      </c>
      <c r="D277" s="13">
        <v>1.0</v>
      </c>
      <c r="E277" s="13" t="s">
        <v>28</v>
      </c>
      <c r="F277" s="14">
        <v>0.0</v>
      </c>
      <c r="G277" s="13">
        <v>1.0</v>
      </c>
      <c r="H277" s="13">
        <v>0.0</v>
      </c>
      <c r="I277" s="13">
        <v>0.0</v>
      </c>
      <c r="J277" s="13">
        <v>0.0</v>
      </c>
      <c r="K277" s="13">
        <v>1.0</v>
      </c>
      <c r="L277" s="13">
        <v>1.0</v>
      </c>
      <c r="M277" s="13">
        <v>0.0</v>
      </c>
      <c r="N277" s="15">
        <v>0.0</v>
      </c>
      <c r="O277" s="13">
        <v>0.0</v>
      </c>
      <c r="P277" s="13">
        <v>0.0</v>
      </c>
      <c r="Q277" s="13">
        <v>0.0</v>
      </c>
      <c r="R277" s="13">
        <v>0.0</v>
      </c>
      <c r="S277" s="13">
        <v>0.0</v>
      </c>
      <c r="T277" s="13">
        <v>0.0</v>
      </c>
      <c r="U277" s="13">
        <v>1.0</v>
      </c>
      <c r="V277" s="13">
        <v>0.0</v>
      </c>
      <c r="W277" s="15">
        <v>0.0</v>
      </c>
      <c r="X277" s="13">
        <v>36.007708</v>
      </c>
      <c r="Y277" s="13">
        <v>-79.019175</v>
      </c>
      <c r="Z277" s="13" t="s">
        <v>29</v>
      </c>
      <c r="AA277" s="16">
        <v>44782.0</v>
      </c>
    </row>
    <row r="278" ht="15.75" customHeight="1">
      <c r="A278" s="12">
        <v>483.0</v>
      </c>
      <c r="B278" s="12" t="s">
        <v>27</v>
      </c>
      <c r="C278" s="12">
        <v>36.0</v>
      </c>
      <c r="D278" s="12">
        <v>2.0</v>
      </c>
      <c r="E278" s="12" t="s">
        <v>28</v>
      </c>
      <c r="F278" s="17">
        <v>0.0</v>
      </c>
      <c r="G278" s="12">
        <v>1.0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44782.0</v>
      </c>
    </row>
    <row r="279" ht="15.75" customHeight="1">
      <c r="A279" s="12">
        <v>483.0</v>
      </c>
      <c r="B279" s="12" t="s">
        <v>27</v>
      </c>
      <c r="C279" s="12">
        <v>36.0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44782.0</v>
      </c>
    </row>
    <row r="280" ht="15.75" customHeight="1">
      <c r="A280" s="12">
        <v>483.0</v>
      </c>
      <c r="B280" s="12" t="s">
        <v>27</v>
      </c>
      <c r="C280" s="12">
        <v>36.0</v>
      </c>
      <c r="D280" s="12">
        <v>4.0</v>
      </c>
      <c r="E280" s="12" t="s">
        <v>28</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44782.0</v>
      </c>
    </row>
    <row r="281" ht="15.75" customHeight="1">
      <c r="A281" s="12">
        <v>483.0</v>
      </c>
      <c r="B281" s="12" t="s">
        <v>27</v>
      </c>
      <c r="C281" s="12">
        <v>36.0</v>
      </c>
      <c r="D281" s="12">
        <v>5.0</v>
      </c>
      <c r="E281" s="12" t="s">
        <v>28</v>
      </c>
      <c r="F281" s="17">
        <v>0.0</v>
      </c>
      <c r="G281" s="12">
        <v>1.0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44782.0</v>
      </c>
    </row>
    <row r="282" ht="15.75" customHeight="1">
      <c r="A282" s="12">
        <v>483.0</v>
      </c>
      <c r="B282" s="12" t="s">
        <v>27</v>
      </c>
      <c r="C282" s="12">
        <v>36.0</v>
      </c>
      <c r="D282" s="12">
        <v>6.0</v>
      </c>
      <c r="E282" s="12" t="s">
        <v>28</v>
      </c>
      <c r="F282" s="17">
        <v>0.0</v>
      </c>
      <c r="G282" s="12">
        <v>1.0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44782.0</v>
      </c>
    </row>
    <row r="283" ht="15.75" customHeight="1">
      <c r="A283" s="12">
        <v>483.0</v>
      </c>
      <c r="B283" s="12" t="s">
        <v>27</v>
      </c>
      <c r="C283" s="12">
        <v>36.0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44782.0</v>
      </c>
    </row>
    <row r="284" ht="15.75" customHeight="1">
      <c r="A284" s="12">
        <v>483.0</v>
      </c>
      <c r="B284" s="12" t="s">
        <v>27</v>
      </c>
      <c r="C284" s="12">
        <v>36.0</v>
      </c>
      <c r="D284" s="12">
        <v>8.0</v>
      </c>
      <c r="E284" s="12" t="s">
        <v>28</v>
      </c>
      <c r="F284" s="17">
        <v>0.0</v>
      </c>
      <c r="G284" s="12">
        <v>0.0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44782.0</v>
      </c>
    </row>
    <row r="285" ht="15.75" customHeight="1">
      <c r="A285" s="12">
        <v>483.0</v>
      </c>
      <c r="B285" s="12" t="s">
        <v>27</v>
      </c>
      <c r="C285" s="12">
        <v>36.0</v>
      </c>
      <c r="D285" s="12">
        <v>9.0</v>
      </c>
      <c r="E285" s="12" t="s">
        <v>28</v>
      </c>
      <c r="F285" s="17">
        <v>0.0</v>
      </c>
      <c r="G285" s="12">
        <v>0.0</v>
      </c>
      <c r="H285" s="12">
        <v>0.0</v>
      </c>
      <c r="I285" s="12">
        <v>0.0</v>
      </c>
      <c r="J285" s="12">
        <v>0.0</v>
      </c>
      <c r="K285" s="12">
        <v>1.0</v>
      </c>
      <c r="L285" s="12">
        <v>0.0</v>
      </c>
      <c r="M285" s="12">
        <v>1.0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44782.0</v>
      </c>
    </row>
    <row r="286" ht="15.75" customHeight="1">
      <c r="A286" s="12">
        <v>483.0</v>
      </c>
      <c r="B286" s="12" t="s">
        <v>27</v>
      </c>
      <c r="C286" s="12">
        <v>36.0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44782.0</v>
      </c>
    </row>
    <row r="287" ht="15.75" customHeight="1">
      <c r="A287" s="22">
        <v>483.0</v>
      </c>
      <c r="B287" s="12" t="s">
        <v>27</v>
      </c>
      <c r="C287" s="12">
        <v>36.0</v>
      </c>
      <c r="D287" s="12" t="s">
        <v>28</v>
      </c>
      <c r="E287" s="12">
        <v>7.0</v>
      </c>
      <c r="F287" s="23">
        <f t="shared" ref="F287:N287" si="26">AVERAGE(F277:F286)</f>
        <v>0</v>
      </c>
      <c r="G287" s="24">
        <f t="shared" si="26"/>
        <v>0.4</v>
      </c>
      <c r="H287" s="24">
        <f t="shared" si="26"/>
        <v>0</v>
      </c>
      <c r="I287" s="24">
        <f t="shared" si="26"/>
        <v>0</v>
      </c>
      <c r="J287" s="24">
        <f t="shared" si="26"/>
        <v>0</v>
      </c>
      <c r="K287" s="24">
        <f t="shared" si="26"/>
        <v>0.2</v>
      </c>
      <c r="L287" s="24">
        <f t="shared" si="26"/>
        <v>0.1</v>
      </c>
      <c r="M287" s="24">
        <f t="shared" si="26"/>
        <v>0.1</v>
      </c>
      <c r="N287" s="25">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44782.0</v>
      </c>
    </row>
    <row r="288" ht="15.75" customHeight="1">
      <c r="A288" s="12">
        <v>483.0</v>
      </c>
      <c r="B288" s="13" t="s">
        <v>27</v>
      </c>
      <c r="C288" s="13">
        <v>27.0</v>
      </c>
      <c r="D288" s="13">
        <v>1.0</v>
      </c>
      <c r="E288" s="13" t="s">
        <v>28</v>
      </c>
      <c r="F288" s="14">
        <v>0.0</v>
      </c>
      <c r="G288" s="13">
        <v>0.0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44782.0</v>
      </c>
    </row>
    <row r="289" ht="15.75" customHeight="1">
      <c r="A289" s="12">
        <v>483.0</v>
      </c>
      <c r="B289" s="12" t="s">
        <v>27</v>
      </c>
      <c r="C289" s="12">
        <v>27.0</v>
      </c>
      <c r="D289" s="12">
        <v>2.0</v>
      </c>
      <c r="E289" s="12" t="s">
        <v>28</v>
      </c>
      <c r="F289" s="17">
        <v>0.0</v>
      </c>
      <c r="G289" s="12">
        <v>1.0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44782.0</v>
      </c>
    </row>
    <row r="290" ht="15.75" customHeight="1">
      <c r="A290" s="12">
        <v>483.0</v>
      </c>
      <c r="B290" s="12" t="s">
        <v>27</v>
      </c>
      <c r="C290" s="12">
        <v>27.0</v>
      </c>
      <c r="D290" s="12">
        <v>3.0</v>
      </c>
      <c r="E290" s="12" t="s">
        <v>28</v>
      </c>
      <c r="F290" s="17">
        <v>0.0</v>
      </c>
      <c r="G290" s="12">
        <v>0.0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44782.0</v>
      </c>
    </row>
    <row r="291" ht="15.75" customHeight="1">
      <c r="A291" s="12">
        <v>483.0</v>
      </c>
      <c r="B291" s="12" t="s">
        <v>27</v>
      </c>
      <c r="C291" s="12">
        <v>27.0</v>
      </c>
      <c r="D291" s="12">
        <v>4.0</v>
      </c>
      <c r="E291" s="12" t="s">
        <v>28</v>
      </c>
      <c r="F291" s="17">
        <v>0.0</v>
      </c>
      <c r="G291" s="12">
        <v>1.0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44782.0</v>
      </c>
    </row>
    <row r="292" ht="15.75" customHeight="1">
      <c r="A292" s="12">
        <v>483.0</v>
      </c>
      <c r="B292" s="12" t="s">
        <v>27</v>
      </c>
      <c r="C292" s="12">
        <v>27.0</v>
      </c>
      <c r="D292" s="12">
        <v>5.0</v>
      </c>
      <c r="E292" s="12" t="s">
        <v>28</v>
      </c>
      <c r="F292" s="17">
        <v>0.0</v>
      </c>
      <c r="G292" s="12">
        <v>0.0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44782.0</v>
      </c>
    </row>
    <row r="293" ht="15.75" customHeight="1">
      <c r="A293" s="12">
        <v>483.0</v>
      </c>
      <c r="B293" s="12" t="s">
        <v>27</v>
      </c>
      <c r="C293" s="12">
        <v>27.0</v>
      </c>
      <c r="D293" s="12">
        <v>6.0</v>
      </c>
      <c r="E293" s="12" t="s">
        <v>28</v>
      </c>
      <c r="F293" s="17">
        <v>0.0</v>
      </c>
      <c r="G293" s="12">
        <v>1.0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44782.0</v>
      </c>
    </row>
    <row r="294" ht="15.75" customHeight="1">
      <c r="A294" s="12">
        <v>483.0</v>
      </c>
      <c r="B294" s="12" t="s">
        <v>27</v>
      </c>
      <c r="C294" s="12">
        <v>27.0</v>
      </c>
      <c r="D294" s="12">
        <v>7.0</v>
      </c>
      <c r="E294" s="12" t="s">
        <v>28</v>
      </c>
      <c r="F294" s="17">
        <v>0.0</v>
      </c>
      <c r="G294" s="12">
        <v>1.0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44782.0</v>
      </c>
    </row>
    <row r="295" ht="15.75" customHeight="1">
      <c r="A295" s="12">
        <v>483.0</v>
      </c>
      <c r="B295" s="12" t="s">
        <v>27</v>
      </c>
      <c r="C295" s="12">
        <v>27.0</v>
      </c>
      <c r="D295" s="12">
        <v>8.0</v>
      </c>
      <c r="E295" s="12" t="s">
        <v>28</v>
      </c>
      <c r="F295" s="17">
        <v>0.0</v>
      </c>
      <c r="G295" s="12">
        <v>1.0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44782.0</v>
      </c>
    </row>
    <row r="296" ht="15.75" customHeight="1">
      <c r="A296" s="12">
        <v>483.0</v>
      </c>
      <c r="B296" s="12" t="s">
        <v>27</v>
      </c>
      <c r="C296" s="12">
        <v>27.0</v>
      </c>
      <c r="D296" s="12">
        <v>9.0</v>
      </c>
      <c r="E296" s="12" t="s">
        <v>28</v>
      </c>
      <c r="F296" s="17">
        <v>0.0</v>
      </c>
      <c r="G296" s="12">
        <v>1.0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44782.0</v>
      </c>
    </row>
    <row r="297" ht="15.75" customHeight="1">
      <c r="A297" s="12">
        <v>483.0</v>
      </c>
      <c r="B297" s="12" t="s">
        <v>27</v>
      </c>
      <c r="C297" s="12">
        <v>27.0</v>
      </c>
      <c r="D297" s="12">
        <v>10.0</v>
      </c>
      <c r="E297" s="12" t="s">
        <v>28</v>
      </c>
      <c r="F297" s="21">
        <v>0.0</v>
      </c>
      <c r="G297" s="12">
        <v>0.0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44782.0</v>
      </c>
    </row>
    <row r="298" ht="15.75" customHeight="1">
      <c r="A298" s="22">
        <v>483.0</v>
      </c>
      <c r="B298" s="12" t="s">
        <v>27</v>
      </c>
      <c r="C298" s="12">
        <v>27.0</v>
      </c>
      <c r="D298" s="12" t="s">
        <v>28</v>
      </c>
      <c r="E298" s="12">
        <v>12.0</v>
      </c>
      <c r="F298" s="23">
        <f t="shared" ref="F298:N298" si="27">AVERAGE(F288:F297)</f>
        <v>0</v>
      </c>
      <c r="G298" s="24">
        <f t="shared" si="27"/>
        <v>0.6</v>
      </c>
      <c r="H298" s="24">
        <f t="shared" si="27"/>
        <v>0</v>
      </c>
      <c r="I298" s="24">
        <f t="shared" si="27"/>
        <v>0</v>
      </c>
      <c r="J298" s="24">
        <f t="shared" si="27"/>
        <v>0</v>
      </c>
      <c r="K298" s="24">
        <f t="shared" si="27"/>
        <v>0</v>
      </c>
      <c r="L298" s="24">
        <f t="shared" si="27"/>
        <v>0</v>
      </c>
      <c r="M298" s="24">
        <f t="shared" si="27"/>
        <v>0</v>
      </c>
      <c r="N298" s="25">
        <f t="shared" si="27"/>
        <v>0</v>
      </c>
      <c r="O298" s="12">
        <v>0.0</v>
      </c>
      <c r="P298" s="12">
        <v>0.0</v>
      </c>
      <c r="Q298" s="12">
        <v>0.0</v>
      </c>
      <c r="R298" s="12">
        <v>0.0</v>
      </c>
      <c r="S298" s="12">
        <v>0.0</v>
      </c>
      <c r="T298" s="12">
        <v>0.0</v>
      </c>
      <c r="U298" s="12">
        <v>0.0</v>
      </c>
      <c r="V298" s="12">
        <v>0.0</v>
      </c>
      <c r="W298" s="19">
        <v>0.0</v>
      </c>
      <c r="X298" s="12">
        <v>36.007882</v>
      </c>
      <c r="Y298" s="12">
        <v>-79.01908</v>
      </c>
      <c r="Z298" s="12" t="s">
        <v>29</v>
      </c>
      <c r="AA298" s="20">
        <v>44782.0</v>
      </c>
    </row>
    <row r="299" ht="15.75" customHeight="1">
      <c r="A299" s="12">
        <v>483.0</v>
      </c>
      <c r="B299" s="13" t="s">
        <v>27</v>
      </c>
      <c r="C299" s="13">
        <v>28.0</v>
      </c>
      <c r="D299" s="13">
        <v>1.0</v>
      </c>
      <c r="E299" s="13" t="s">
        <v>28</v>
      </c>
      <c r="F299" s="14">
        <v>1.0</v>
      </c>
      <c r="G299" s="13">
        <v>1.0</v>
      </c>
      <c r="H299" s="13">
        <v>0.0</v>
      </c>
      <c r="I299" s="13">
        <v>0.0</v>
      </c>
      <c r="J299" s="13">
        <v>0.0</v>
      </c>
      <c r="K299" s="13">
        <v>0.0</v>
      </c>
      <c r="L299" s="13">
        <v>0.0</v>
      </c>
      <c r="M299" s="13">
        <v>0.0</v>
      </c>
      <c r="N299" s="15">
        <v>0.0</v>
      </c>
      <c r="O299" s="13">
        <v>0.0</v>
      </c>
      <c r="P299" s="13">
        <v>0.0</v>
      </c>
      <c r="Q299" s="13">
        <v>1.0</v>
      </c>
      <c r="R299" s="13">
        <v>0.0</v>
      </c>
      <c r="S299" s="13">
        <v>0.0</v>
      </c>
      <c r="T299" s="13">
        <v>0.0</v>
      </c>
      <c r="U299" s="13">
        <v>0.0</v>
      </c>
      <c r="V299" s="13">
        <v>0.0</v>
      </c>
      <c r="W299" s="15">
        <v>0.0</v>
      </c>
      <c r="X299" s="13">
        <v>36.008002</v>
      </c>
      <c r="Y299" s="13">
        <v>-79.019237</v>
      </c>
      <c r="Z299" s="13" t="s">
        <v>29</v>
      </c>
      <c r="AA299" s="16">
        <v>44782.0</v>
      </c>
    </row>
    <row r="300" ht="15.75" customHeight="1">
      <c r="A300" s="12">
        <v>483.0</v>
      </c>
      <c r="B300" s="12" t="s">
        <v>27</v>
      </c>
      <c r="C300" s="12">
        <v>28.0</v>
      </c>
      <c r="D300" s="12">
        <v>2.0</v>
      </c>
      <c r="E300" s="12" t="s">
        <v>28</v>
      </c>
      <c r="F300" s="17">
        <v>0.0</v>
      </c>
      <c r="G300" s="12">
        <v>1.0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44782.0</v>
      </c>
    </row>
    <row r="301" ht="15.75" customHeight="1">
      <c r="A301" s="12">
        <v>483.0</v>
      </c>
      <c r="B301" s="12" t="s">
        <v>27</v>
      </c>
      <c r="C301" s="12">
        <v>28.0</v>
      </c>
      <c r="D301" s="12">
        <v>3.0</v>
      </c>
      <c r="E301" s="12" t="s">
        <v>28</v>
      </c>
      <c r="F301" s="17">
        <v>0.0</v>
      </c>
      <c r="G301" s="12">
        <v>1.0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44782.0</v>
      </c>
    </row>
    <row r="302" ht="15.75" customHeight="1">
      <c r="A302" s="12">
        <v>483.0</v>
      </c>
      <c r="B302" s="12" t="s">
        <v>27</v>
      </c>
      <c r="C302" s="12">
        <v>28.0</v>
      </c>
      <c r="D302" s="12">
        <v>4.0</v>
      </c>
      <c r="E302" s="12" t="s">
        <v>28</v>
      </c>
      <c r="F302" s="17">
        <v>0.0</v>
      </c>
      <c r="G302" s="12">
        <v>1.0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44782.0</v>
      </c>
    </row>
    <row r="303" ht="15.75" customHeight="1">
      <c r="A303" s="12">
        <v>483.0</v>
      </c>
      <c r="B303" s="12" t="s">
        <v>27</v>
      </c>
      <c r="C303" s="12">
        <v>28.0</v>
      </c>
      <c r="D303" s="12">
        <v>5.0</v>
      </c>
      <c r="E303" s="12" t="s">
        <v>28</v>
      </c>
      <c r="F303" s="17">
        <v>0.0</v>
      </c>
      <c r="G303" s="12">
        <v>1.0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44782.0</v>
      </c>
    </row>
    <row r="304" ht="15.75" customHeight="1">
      <c r="A304" s="12">
        <v>483.0</v>
      </c>
      <c r="B304" s="12" t="s">
        <v>27</v>
      </c>
      <c r="C304" s="12">
        <v>28.0</v>
      </c>
      <c r="D304" s="12">
        <v>6.0</v>
      </c>
      <c r="E304" s="12" t="s">
        <v>28</v>
      </c>
      <c r="F304" s="17">
        <v>0.0</v>
      </c>
      <c r="G304" s="12">
        <v>1.0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44782.0</v>
      </c>
    </row>
    <row r="305" ht="15.75" customHeight="1">
      <c r="A305" s="12">
        <v>483.0</v>
      </c>
      <c r="B305" s="12" t="s">
        <v>27</v>
      </c>
      <c r="C305" s="12">
        <v>28.0</v>
      </c>
      <c r="D305" s="12">
        <v>7.0</v>
      </c>
      <c r="E305" s="12" t="s">
        <v>28</v>
      </c>
      <c r="F305" s="17">
        <v>0.0</v>
      </c>
      <c r="G305" s="12">
        <v>1.0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44782.0</v>
      </c>
    </row>
    <row r="306" ht="15.75" customHeight="1">
      <c r="A306" s="12">
        <v>483.0</v>
      </c>
      <c r="B306" s="12" t="s">
        <v>27</v>
      </c>
      <c r="C306" s="12">
        <v>28.0</v>
      </c>
      <c r="D306" s="12">
        <v>8.0</v>
      </c>
      <c r="E306" s="12" t="s">
        <v>28</v>
      </c>
      <c r="F306" s="17">
        <v>0.0</v>
      </c>
      <c r="G306" s="12">
        <v>1.0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44782.0</v>
      </c>
    </row>
    <row r="307" ht="15.75" customHeight="1">
      <c r="A307" s="12">
        <v>483.0</v>
      </c>
      <c r="B307" s="12" t="s">
        <v>27</v>
      </c>
      <c r="C307" s="12">
        <v>28.0</v>
      </c>
      <c r="D307" s="12">
        <v>9.0</v>
      </c>
      <c r="E307" s="12" t="s">
        <v>28</v>
      </c>
      <c r="F307" s="17">
        <v>0.0</v>
      </c>
      <c r="G307" s="12">
        <v>1.0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44782.0</v>
      </c>
    </row>
    <row r="308" ht="15.75" customHeight="1">
      <c r="A308" s="12">
        <v>483.0</v>
      </c>
      <c r="B308" s="12" t="s">
        <v>27</v>
      </c>
      <c r="C308" s="12">
        <v>28.0</v>
      </c>
      <c r="D308" s="12">
        <v>10.0</v>
      </c>
      <c r="E308" s="12" t="s">
        <v>28</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44782.0</v>
      </c>
    </row>
    <row r="309" ht="15.75" customHeight="1">
      <c r="A309" s="22">
        <v>483.0</v>
      </c>
      <c r="B309" s="12" t="s">
        <v>27</v>
      </c>
      <c r="C309" s="12">
        <v>28.0</v>
      </c>
      <c r="D309" s="12" t="s">
        <v>28</v>
      </c>
      <c r="E309" s="12">
        <v>7.0</v>
      </c>
      <c r="F309" s="23">
        <f t="shared" ref="F309:N309" si="28">AVERAGE(F299:F308)</f>
        <v>0.1</v>
      </c>
      <c r="G309" s="24">
        <f t="shared" si="28"/>
        <v>1</v>
      </c>
      <c r="H309" s="24">
        <f t="shared" si="28"/>
        <v>0</v>
      </c>
      <c r="I309" s="24">
        <f t="shared" si="28"/>
        <v>0</v>
      </c>
      <c r="J309" s="24">
        <f t="shared" si="28"/>
        <v>0</v>
      </c>
      <c r="K309" s="24">
        <f t="shared" si="28"/>
        <v>0</v>
      </c>
      <c r="L309" s="24">
        <f t="shared" si="28"/>
        <v>0</v>
      </c>
      <c r="M309" s="24">
        <f t="shared" si="28"/>
        <v>0</v>
      </c>
      <c r="N309" s="25">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44782.0</v>
      </c>
    </row>
    <row r="310" ht="15.75" customHeight="1">
      <c r="A310" s="12">
        <v>484.0</v>
      </c>
      <c r="B310" s="13" t="s">
        <v>27</v>
      </c>
      <c r="C310" s="13">
        <v>29.0</v>
      </c>
      <c r="D310" s="13">
        <v>1.0</v>
      </c>
      <c r="E310" s="13" t="s">
        <v>28</v>
      </c>
      <c r="F310" s="14">
        <v>0.0</v>
      </c>
      <c r="G310" s="13">
        <v>1.0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44782.0</v>
      </c>
    </row>
    <row r="311" ht="15.75" customHeight="1">
      <c r="A311" s="12">
        <v>484.0</v>
      </c>
      <c r="B311" s="12" t="s">
        <v>27</v>
      </c>
      <c r="C311" s="12">
        <v>29.0</v>
      </c>
      <c r="D311" s="12">
        <v>2.0</v>
      </c>
      <c r="E311" s="12" t="s">
        <v>28</v>
      </c>
      <c r="F311" s="17">
        <v>0.0</v>
      </c>
      <c r="G311" s="12">
        <v>1.0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44782.0</v>
      </c>
    </row>
    <row r="312" ht="15.75" customHeight="1">
      <c r="A312" s="12">
        <v>484.0</v>
      </c>
      <c r="B312" s="12" t="s">
        <v>27</v>
      </c>
      <c r="C312" s="12">
        <v>29.0</v>
      </c>
      <c r="D312" s="12">
        <v>3.0</v>
      </c>
      <c r="E312" s="12" t="s">
        <v>28</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44782.0</v>
      </c>
    </row>
    <row r="313" ht="15.75" customHeight="1">
      <c r="A313" s="12">
        <v>484.0</v>
      </c>
      <c r="B313" s="12" t="s">
        <v>27</v>
      </c>
      <c r="C313" s="12">
        <v>29.0</v>
      </c>
      <c r="D313" s="12">
        <v>4.0</v>
      </c>
      <c r="E313" s="12" t="s">
        <v>28</v>
      </c>
      <c r="F313" s="17">
        <v>0.0</v>
      </c>
      <c r="G313" s="12">
        <v>1.0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44782.0</v>
      </c>
    </row>
    <row r="314" ht="15.75" customHeight="1">
      <c r="A314" s="12">
        <v>484.0</v>
      </c>
      <c r="B314" s="12" t="s">
        <v>27</v>
      </c>
      <c r="C314" s="12">
        <v>29.0</v>
      </c>
      <c r="D314" s="12">
        <v>5.0</v>
      </c>
      <c r="E314" s="12" t="s">
        <v>28</v>
      </c>
      <c r="F314" s="17">
        <v>0.0</v>
      </c>
      <c r="G314" s="12">
        <v>1.0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44782.0</v>
      </c>
    </row>
    <row r="315" ht="15.75" customHeight="1">
      <c r="A315" s="12">
        <v>484.0</v>
      </c>
      <c r="B315" s="12" t="s">
        <v>27</v>
      </c>
      <c r="C315" s="12">
        <v>29.0</v>
      </c>
      <c r="D315" s="12">
        <v>6.0</v>
      </c>
      <c r="E315" s="12" t="s">
        <v>28</v>
      </c>
      <c r="F315" s="17">
        <v>0.0</v>
      </c>
      <c r="G315" s="12">
        <v>1.0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44782.0</v>
      </c>
    </row>
    <row r="316" ht="15.75"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44782.0</v>
      </c>
    </row>
    <row r="317" ht="15.75" customHeight="1">
      <c r="A317" s="12">
        <v>484.0</v>
      </c>
      <c r="B317" s="12" t="s">
        <v>27</v>
      </c>
      <c r="C317" s="12">
        <v>29.0</v>
      </c>
      <c r="D317" s="12">
        <v>8.0</v>
      </c>
      <c r="E317" s="12" t="s">
        <v>28</v>
      </c>
      <c r="F317" s="17">
        <v>0.0</v>
      </c>
      <c r="G317" s="12">
        <v>1.0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44782.0</v>
      </c>
    </row>
    <row r="318" ht="15.75" customHeight="1">
      <c r="A318" s="12">
        <v>484.0</v>
      </c>
      <c r="B318" s="12" t="s">
        <v>27</v>
      </c>
      <c r="C318" s="12">
        <v>29.0</v>
      </c>
      <c r="D318" s="12">
        <v>9.0</v>
      </c>
      <c r="E318" s="12" t="s">
        <v>28</v>
      </c>
      <c r="F318" s="17">
        <v>0.0</v>
      </c>
      <c r="G318" s="12">
        <v>1.0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44782.0</v>
      </c>
    </row>
    <row r="319" ht="15.75" customHeight="1">
      <c r="A319" s="12">
        <v>484.0</v>
      </c>
      <c r="B319" s="12" t="s">
        <v>27</v>
      </c>
      <c r="C319" s="12">
        <v>29.0</v>
      </c>
      <c r="D319" s="12">
        <v>10.0</v>
      </c>
      <c r="E319" s="12" t="s">
        <v>28</v>
      </c>
      <c r="F319" s="21">
        <v>0.0</v>
      </c>
      <c r="G319" s="12">
        <v>0.0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44782.0</v>
      </c>
    </row>
    <row r="320" ht="15.75" customHeight="1">
      <c r="A320" s="22">
        <v>484.0</v>
      </c>
      <c r="B320" s="12" t="s">
        <v>27</v>
      </c>
      <c r="C320" s="12">
        <v>29.0</v>
      </c>
      <c r="D320" s="12" t="s">
        <v>28</v>
      </c>
      <c r="E320" s="12">
        <v>7.0</v>
      </c>
      <c r="F320" s="23">
        <f t="shared" ref="F320:N320" si="29">AVERAGE(F310:F319)</f>
        <v>0</v>
      </c>
      <c r="G320" s="24">
        <f t="shared" si="29"/>
        <v>0.8</v>
      </c>
      <c r="H320" s="24">
        <f t="shared" si="29"/>
        <v>0</v>
      </c>
      <c r="I320" s="24">
        <f t="shared" si="29"/>
        <v>0</v>
      </c>
      <c r="J320" s="24">
        <f t="shared" si="29"/>
        <v>0</v>
      </c>
      <c r="K320" s="24">
        <f t="shared" si="29"/>
        <v>0</v>
      </c>
      <c r="L320" s="24">
        <f t="shared" si="29"/>
        <v>0</v>
      </c>
      <c r="M320" s="24">
        <f t="shared" si="29"/>
        <v>0</v>
      </c>
      <c r="N320" s="25">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44782.0</v>
      </c>
    </row>
    <row r="321" ht="15.75" customHeight="1">
      <c r="A321" s="12">
        <v>484.0</v>
      </c>
      <c r="B321" s="13" t="s">
        <v>27</v>
      </c>
      <c r="C321" s="13">
        <v>32.0</v>
      </c>
      <c r="D321" s="13">
        <v>1.0</v>
      </c>
      <c r="E321" s="13" t="s">
        <v>28</v>
      </c>
      <c r="F321" s="14">
        <v>0.0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44782.0</v>
      </c>
    </row>
    <row r="322" ht="15.75" customHeight="1">
      <c r="A322" s="12">
        <v>484.0</v>
      </c>
      <c r="B322" s="12" t="s">
        <v>27</v>
      </c>
      <c r="C322" s="12">
        <v>32.0</v>
      </c>
      <c r="D322" s="12">
        <v>2.0</v>
      </c>
      <c r="E322" s="12" t="s">
        <v>28</v>
      </c>
      <c r="F322" s="17">
        <v>0.0</v>
      </c>
      <c r="G322" s="12">
        <v>0.0</v>
      </c>
      <c r="H322" s="12">
        <v>0.0</v>
      </c>
      <c r="I322" s="12">
        <v>0.0</v>
      </c>
      <c r="J322" s="12">
        <v>0.0</v>
      </c>
      <c r="K322" s="12">
        <v>1.0</v>
      </c>
      <c r="L322" s="12">
        <v>1.0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44782.0</v>
      </c>
    </row>
    <row r="323" ht="15.75" customHeight="1">
      <c r="A323" s="12">
        <v>484.0</v>
      </c>
      <c r="B323" s="12" t="s">
        <v>27</v>
      </c>
      <c r="C323" s="12">
        <v>32.0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44782.0</v>
      </c>
    </row>
    <row r="324" ht="15.75" customHeight="1">
      <c r="A324" s="12">
        <v>484.0</v>
      </c>
      <c r="B324" s="12" t="s">
        <v>27</v>
      </c>
      <c r="C324" s="12">
        <v>32.0</v>
      </c>
      <c r="D324" s="12">
        <v>4.0</v>
      </c>
      <c r="E324" s="12" t="s">
        <v>28</v>
      </c>
      <c r="F324" s="17">
        <v>0.0</v>
      </c>
      <c r="G324" s="12">
        <v>1.0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44782.0</v>
      </c>
    </row>
    <row r="325" ht="15.75" customHeight="1">
      <c r="A325" s="12">
        <v>484.0</v>
      </c>
      <c r="B325" s="12" t="s">
        <v>27</v>
      </c>
      <c r="C325" s="12">
        <v>32.0</v>
      </c>
      <c r="D325" s="12">
        <v>5.0</v>
      </c>
      <c r="E325" s="12" t="s">
        <v>28</v>
      </c>
      <c r="F325" s="17">
        <v>0.0</v>
      </c>
      <c r="G325" s="12">
        <v>0.0</v>
      </c>
      <c r="H325" s="12">
        <v>0.0</v>
      </c>
      <c r="I325" s="12">
        <v>0.0</v>
      </c>
      <c r="J325" s="12">
        <v>0.0</v>
      </c>
      <c r="K325" s="12">
        <v>1.0</v>
      </c>
      <c r="L325" s="12">
        <v>1.0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44782.0</v>
      </c>
    </row>
    <row r="326" ht="15.75" customHeight="1">
      <c r="A326" s="12">
        <v>484.0</v>
      </c>
      <c r="B326" s="12" t="s">
        <v>27</v>
      </c>
      <c r="C326" s="12">
        <v>32.0</v>
      </c>
      <c r="D326" s="12">
        <v>6.0</v>
      </c>
      <c r="E326" s="12" t="s">
        <v>28</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44782.0</v>
      </c>
    </row>
    <row r="327" ht="15.75" customHeight="1">
      <c r="A327" s="12">
        <v>484.0</v>
      </c>
      <c r="B327" s="12" t="s">
        <v>27</v>
      </c>
      <c r="C327" s="12">
        <v>32.0</v>
      </c>
      <c r="D327" s="12">
        <v>7.0</v>
      </c>
      <c r="E327" s="12" t="s">
        <v>28</v>
      </c>
      <c r="F327" s="17">
        <v>0.0</v>
      </c>
      <c r="G327" s="12">
        <v>1.0</v>
      </c>
      <c r="H327" s="12">
        <v>0.0</v>
      </c>
      <c r="I327" s="12">
        <v>0.0</v>
      </c>
      <c r="J327" s="12">
        <v>0.0</v>
      </c>
      <c r="K327" s="12">
        <v>1.0</v>
      </c>
      <c r="L327" s="12">
        <v>0.0</v>
      </c>
      <c r="M327" s="12">
        <v>1.0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44782.0</v>
      </c>
    </row>
    <row r="328" ht="15.75" customHeight="1">
      <c r="A328" s="12">
        <v>484.0</v>
      </c>
      <c r="B328" s="12" t="s">
        <v>27</v>
      </c>
      <c r="C328" s="12">
        <v>32.0</v>
      </c>
      <c r="D328" s="12">
        <v>8.0</v>
      </c>
      <c r="E328" s="12" t="s">
        <v>28</v>
      </c>
      <c r="F328" s="17">
        <v>0.0</v>
      </c>
      <c r="G328" s="12">
        <v>1.0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44782.0</v>
      </c>
    </row>
    <row r="329" ht="15.75" customHeight="1">
      <c r="A329" s="12">
        <v>484.0</v>
      </c>
      <c r="B329" s="12" t="s">
        <v>27</v>
      </c>
      <c r="C329" s="12">
        <v>32.0</v>
      </c>
      <c r="D329" s="12">
        <v>9.0</v>
      </c>
      <c r="E329" s="12" t="s">
        <v>28</v>
      </c>
      <c r="F329" s="17">
        <v>0.0</v>
      </c>
      <c r="G329" s="12">
        <v>1.0</v>
      </c>
      <c r="H329" s="12">
        <v>0.0</v>
      </c>
      <c r="I329" s="12">
        <v>0.0</v>
      </c>
      <c r="J329" s="12">
        <v>0.0</v>
      </c>
      <c r="K329" s="12">
        <v>1.0</v>
      </c>
      <c r="L329" s="12">
        <v>0.0</v>
      </c>
      <c r="M329" s="12">
        <v>1.0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44782.0</v>
      </c>
    </row>
    <row r="330" ht="15.75" customHeight="1">
      <c r="A330" s="12">
        <v>484.0</v>
      </c>
      <c r="B330" s="12" t="s">
        <v>27</v>
      </c>
      <c r="C330" s="12">
        <v>32.0</v>
      </c>
      <c r="D330" s="12">
        <v>10.0</v>
      </c>
      <c r="E330" s="12" t="s">
        <v>28</v>
      </c>
      <c r="F330" s="21">
        <v>0.0</v>
      </c>
      <c r="G330" s="12">
        <v>1.0</v>
      </c>
      <c r="H330" s="12">
        <v>0.0</v>
      </c>
      <c r="I330" s="12">
        <v>0.0</v>
      </c>
      <c r="J330" s="12">
        <v>0.0</v>
      </c>
      <c r="K330" s="12">
        <v>1.0</v>
      </c>
      <c r="L330" s="12">
        <v>0.0</v>
      </c>
      <c r="M330" s="12">
        <v>0.0</v>
      </c>
      <c r="N330" s="12">
        <v>1.0</v>
      </c>
      <c r="O330" s="21">
        <v>0.0</v>
      </c>
      <c r="P330" s="12">
        <v>0.0</v>
      </c>
      <c r="Q330" s="12">
        <v>0.0</v>
      </c>
      <c r="R330" s="12">
        <v>0.0</v>
      </c>
      <c r="S330" s="12">
        <v>0.0</v>
      </c>
      <c r="T330" s="12">
        <v>0.0</v>
      </c>
      <c r="U330" s="12">
        <v>0.0</v>
      </c>
      <c r="V330" s="12">
        <v>0.0</v>
      </c>
      <c r="W330" s="12">
        <v>0.0</v>
      </c>
      <c r="X330" s="17">
        <v>36.008142</v>
      </c>
      <c r="Y330" s="12">
        <v>-79.019895</v>
      </c>
      <c r="Z330" s="12" t="s">
        <v>29</v>
      </c>
      <c r="AA330" s="20">
        <v>44782.0</v>
      </c>
    </row>
    <row r="331" ht="15.75" customHeight="1">
      <c r="A331" s="22">
        <v>484.0</v>
      </c>
      <c r="B331" s="12" t="s">
        <v>27</v>
      </c>
      <c r="C331" s="12">
        <v>32.0</v>
      </c>
      <c r="D331" s="12" t="s">
        <v>28</v>
      </c>
      <c r="E331" s="12">
        <v>8.0</v>
      </c>
      <c r="F331" s="23">
        <f t="shared" ref="F331:N331" si="30">AVERAGE(F321:F330)</f>
        <v>0</v>
      </c>
      <c r="G331" s="24">
        <f t="shared" si="30"/>
        <v>0.5</v>
      </c>
      <c r="H331" s="24">
        <f t="shared" si="30"/>
        <v>0</v>
      </c>
      <c r="I331" s="24">
        <f t="shared" si="30"/>
        <v>0</v>
      </c>
      <c r="J331" s="24">
        <f t="shared" si="30"/>
        <v>0</v>
      </c>
      <c r="K331" s="24">
        <f t="shared" si="30"/>
        <v>0.5</v>
      </c>
      <c r="L331" s="24">
        <f t="shared" si="30"/>
        <v>0.2</v>
      </c>
      <c r="M331" s="24">
        <f t="shared" si="30"/>
        <v>0.2</v>
      </c>
      <c r="N331" s="25">
        <f t="shared" si="30"/>
        <v>0.1</v>
      </c>
      <c r="O331" s="12">
        <v>0.0</v>
      </c>
      <c r="P331" s="12">
        <v>0.0</v>
      </c>
      <c r="Q331" s="12">
        <v>0.0</v>
      </c>
      <c r="R331" s="12">
        <v>0.0</v>
      </c>
      <c r="S331" s="12">
        <v>0.0</v>
      </c>
      <c r="T331" s="12">
        <v>0.0</v>
      </c>
      <c r="U331" s="12">
        <v>0.0</v>
      </c>
      <c r="V331" s="12">
        <v>0.0</v>
      </c>
      <c r="W331" s="19">
        <v>0.0</v>
      </c>
      <c r="X331" s="12">
        <v>36.008142</v>
      </c>
      <c r="Y331" s="12">
        <v>-79.019895</v>
      </c>
      <c r="Z331" s="12" t="s">
        <v>29</v>
      </c>
      <c r="AA331" s="20">
        <v>44782.0</v>
      </c>
    </row>
    <row r="332" ht="15.75" customHeight="1">
      <c r="A332" s="12">
        <v>485.0</v>
      </c>
      <c r="B332" s="13" t="s">
        <v>27</v>
      </c>
      <c r="C332" s="13">
        <v>31.0</v>
      </c>
      <c r="D332" s="13">
        <v>1.0</v>
      </c>
      <c r="E332" s="13" t="s">
        <v>28</v>
      </c>
      <c r="F332" s="14">
        <v>1.0</v>
      </c>
      <c r="G332" s="13">
        <v>0.0</v>
      </c>
      <c r="H332" s="13">
        <v>0.0</v>
      </c>
      <c r="I332" s="13">
        <v>0.0</v>
      </c>
      <c r="J332" s="13">
        <v>0.0</v>
      </c>
      <c r="K332" s="13">
        <v>0.0</v>
      </c>
      <c r="L332" s="13">
        <v>0.0</v>
      </c>
      <c r="M332" s="13">
        <v>0.0</v>
      </c>
      <c r="N332" s="15">
        <v>0.0</v>
      </c>
      <c r="O332" s="13">
        <v>5.0</v>
      </c>
      <c r="P332" s="13">
        <v>0.0</v>
      </c>
      <c r="Q332" s="13">
        <v>0.0</v>
      </c>
      <c r="R332" s="13">
        <v>0.0</v>
      </c>
      <c r="S332" s="13">
        <v>0.0</v>
      </c>
      <c r="T332" s="13">
        <v>0.0</v>
      </c>
      <c r="U332" s="13">
        <v>0.0</v>
      </c>
      <c r="V332" s="13">
        <v>0.0</v>
      </c>
      <c r="W332" s="15">
        <v>0.0</v>
      </c>
      <c r="X332" s="13">
        <v>36.00793</v>
      </c>
      <c r="Y332" s="13">
        <v>-79.019943</v>
      </c>
      <c r="Z332" s="13" t="s">
        <v>29</v>
      </c>
      <c r="AA332" s="16">
        <v>44782.0</v>
      </c>
    </row>
    <row r="333" ht="15.75" customHeight="1">
      <c r="A333" s="12">
        <v>485.0</v>
      </c>
      <c r="B333" s="12" t="s">
        <v>27</v>
      </c>
      <c r="C333" s="12">
        <v>31.0</v>
      </c>
      <c r="D333" s="12">
        <v>2.0</v>
      </c>
      <c r="E333" s="12" t="s">
        <v>28</v>
      </c>
      <c r="F333" s="17">
        <v>1.0</v>
      </c>
      <c r="G333" s="12">
        <v>0.0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44782.0</v>
      </c>
    </row>
    <row r="334" ht="15.75" customHeight="1">
      <c r="A334" s="12">
        <v>485.0</v>
      </c>
      <c r="B334" s="12" t="s">
        <v>27</v>
      </c>
      <c r="C334" s="12">
        <v>31.0</v>
      </c>
      <c r="D334" s="12">
        <v>3.0</v>
      </c>
      <c r="E334" s="12" t="s">
        <v>28</v>
      </c>
      <c r="F334" s="17">
        <v>0.0</v>
      </c>
      <c r="G334" s="12">
        <v>1.0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44782.0</v>
      </c>
    </row>
    <row r="335" ht="15.75" customHeight="1">
      <c r="A335" s="12">
        <v>485.0</v>
      </c>
      <c r="B335" s="12" t="s">
        <v>27</v>
      </c>
      <c r="C335" s="12">
        <v>31.0</v>
      </c>
      <c r="D335" s="12">
        <v>4.0</v>
      </c>
      <c r="E335" s="12" t="s">
        <v>28</v>
      </c>
      <c r="F335" s="17">
        <v>0.0</v>
      </c>
      <c r="G335" s="12">
        <v>1.0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44782.0</v>
      </c>
    </row>
    <row r="336" ht="15.75" customHeight="1">
      <c r="A336" s="12">
        <v>485.0</v>
      </c>
      <c r="B336" s="12" t="s">
        <v>27</v>
      </c>
      <c r="C336" s="12">
        <v>31.0</v>
      </c>
      <c r="D336" s="12">
        <v>5.0</v>
      </c>
      <c r="E336" s="12" t="s">
        <v>28</v>
      </c>
      <c r="F336" s="17">
        <v>0.0</v>
      </c>
      <c r="G336" s="12">
        <v>1.0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44782.0</v>
      </c>
    </row>
    <row r="337" ht="15.75" customHeight="1">
      <c r="A337" s="12">
        <v>485.0</v>
      </c>
      <c r="B337" s="12" t="s">
        <v>27</v>
      </c>
      <c r="C337" s="12">
        <v>31.0</v>
      </c>
      <c r="D337" s="12">
        <v>6.0</v>
      </c>
      <c r="E337" s="12" t="s">
        <v>28</v>
      </c>
      <c r="F337" s="17">
        <v>0.0</v>
      </c>
      <c r="G337" s="12">
        <v>1.0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44782.0</v>
      </c>
    </row>
    <row r="338" ht="15.75" customHeight="1">
      <c r="A338" s="12">
        <v>485.0</v>
      </c>
      <c r="B338" s="12" t="s">
        <v>27</v>
      </c>
      <c r="C338" s="12">
        <v>31.0</v>
      </c>
      <c r="D338" s="12">
        <v>7.0</v>
      </c>
      <c r="E338" s="12" t="s">
        <v>28</v>
      </c>
      <c r="F338" s="17">
        <v>1.0</v>
      </c>
      <c r="G338" s="12">
        <v>1.0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44782.0</v>
      </c>
    </row>
    <row r="339" ht="15.75" customHeight="1">
      <c r="A339" s="12">
        <v>485.0</v>
      </c>
      <c r="B339" s="12" t="s">
        <v>27</v>
      </c>
      <c r="C339" s="12">
        <v>31.0</v>
      </c>
      <c r="D339" s="12">
        <v>8.0</v>
      </c>
      <c r="E339" s="12" t="s">
        <v>28</v>
      </c>
      <c r="F339" s="17">
        <v>1.0</v>
      </c>
      <c r="G339" s="12">
        <v>0.0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44782.0</v>
      </c>
    </row>
    <row r="340" ht="15.75"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44782.0</v>
      </c>
    </row>
    <row r="341" ht="15.75" customHeight="1">
      <c r="A341" s="12">
        <v>485.0</v>
      </c>
      <c r="B341" s="12" t="s">
        <v>27</v>
      </c>
      <c r="C341" s="12">
        <v>31.0</v>
      </c>
      <c r="D341" s="12">
        <v>10.0</v>
      </c>
      <c r="E341" s="12" t="s">
        <v>28</v>
      </c>
      <c r="F341" s="21">
        <v>0.0</v>
      </c>
      <c r="G341" s="12">
        <v>0.0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44782.0</v>
      </c>
    </row>
    <row r="342" ht="15.75" customHeight="1">
      <c r="A342" s="22">
        <v>485.0</v>
      </c>
      <c r="B342" s="12" t="s">
        <v>27</v>
      </c>
      <c r="C342" s="12">
        <v>31.0</v>
      </c>
      <c r="D342" s="12" t="s">
        <v>28</v>
      </c>
      <c r="E342" s="12">
        <v>8.0</v>
      </c>
      <c r="F342" s="23">
        <f t="shared" ref="F342:N342" si="31">AVERAGE(F332:F341)</f>
        <v>0.4</v>
      </c>
      <c r="G342" s="24">
        <f t="shared" si="31"/>
        <v>0.6</v>
      </c>
      <c r="H342" s="24">
        <f t="shared" si="31"/>
        <v>0</v>
      </c>
      <c r="I342" s="24">
        <f t="shared" si="31"/>
        <v>0</v>
      </c>
      <c r="J342" s="24">
        <f t="shared" si="31"/>
        <v>0</v>
      </c>
      <c r="K342" s="24">
        <f t="shared" si="31"/>
        <v>0</v>
      </c>
      <c r="L342" s="24">
        <f t="shared" si="31"/>
        <v>0</v>
      </c>
      <c r="M342" s="24">
        <f t="shared" si="31"/>
        <v>0</v>
      </c>
      <c r="N342" s="25">
        <f t="shared" si="31"/>
        <v>0</v>
      </c>
      <c r="O342" s="12">
        <v>0.0</v>
      </c>
      <c r="P342" s="12">
        <v>0.0</v>
      </c>
      <c r="Q342" s="12">
        <v>0.0</v>
      </c>
      <c r="R342" s="12">
        <v>0.0</v>
      </c>
      <c r="S342" s="12">
        <v>0.0</v>
      </c>
      <c r="T342" s="12">
        <v>0.0</v>
      </c>
      <c r="U342" s="12">
        <v>0.0</v>
      </c>
      <c r="V342" s="12">
        <v>0.0</v>
      </c>
      <c r="W342" s="19">
        <v>0.0</v>
      </c>
      <c r="X342" s="12">
        <v>36.00793</v>
      </c>
      <c r="Y342" s="12">
        <v>-79.019943</v>
      </c>
      <c r="Z342" s="12" t="s">
        <v>29</v>
      </c>
      <c r="AA342" s="20">
        <v>44782.0</v>
      </c>
    </row>
    <row r="343" ht="15.75" customHeight="1">
      <c r="A343" s="12">
        <v>487.0</v>
      </c>
      <c r="B343" s="13" t="s">
        <v>27</v>
      </c>
      <c r="C343" s="13">
        <v>30.0</v>
      </c>
      <c r="D343" s="13">
        <v>1.0</v>
      </c>
      <c r="E343" s="13" t="s">
        <v>28</v>
      </c>
      <c r="F343" s="14">
        <v>0.0</v>
      </c>
      <c r="G343" s="13">
        <v>1.0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44782.0</v>
      </c>
    </row>
    <row r="344" ht="15.75" customHeight="1">
      <c r="A344" s="12">
        <v>487.0</v>
      </c>
      <c r="B344" s="12" t="s">
        <v>27</v>
      </c>
      <c r="C344" s="12">
        <v>30.0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44782.0</v>
      </c>
    </row>
    <row r="345" ht="15.75" customHeight="1">
      <c r="A345" s="12">
        <v>487.0</v>
      </c>
      <c r="B345" s="12" t="s">
        <v>27</v>
      </c>
      <c r="C345" s="12">
        <v>30.0</v>
      </c>
      <c r="D345" s="12">
        <v>3.0</v>
      </c>
      <c r="E345" s="12" t="s">
        <v>28</v>
      </c>
      <c r="F345" s="17">
        <v>0.0</v>
      </c>
      <c r="G345" s="12">
        <v>1.0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44782.0</v>
      </c>
    </row>
    <row r="346" ht="15.75" customHeight="1">
      <c r="A346" s="12">
        <v>487.0</v>
      </c>
      <c r="B346" s="12" t="s">
        <v>27</v>
      </c>
      <c r="C346" s="12">
        <v>30.0</v>
      </c>
      <c r="D346" s="12">
        <v>4.0</v>
      </c>
      <c r="E346" s="12" t="s">
        <v>28</v>
      </c>
      <c r="F346" s="17">
        <v>0.0</v>
      </c>
      <c r="G346" s="12">
        <v>0.0</v>
      </c>
      <c r="H346" s="12">
        <v>0.0</v>
      </c>
      <c r="I346" s="12">
        <v>0.0</v>
      </c>
      <c r="J346" s="12">
        <v>0.0</v>
      </c>
      <c r="K346" s="12">
        <v>1.0</v>
      </c>
      <c r="L346" s="12">
        <v>0.0</v>
      </c>
      <c r="M346" s="12">
        <v>1.0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44782.0</v>
      </c>
    </row>
    <row r="347" ht="15.75" customHeight="1">
      <c r="A347" s="12">
        <v>487.0</v>
      </c>
      <c r="B347" s="12" t="s">
        <v>27</v>
      </c>
      <c r="C347" s="12">
        <v>30.0</v>
      </c>
      <c r="D347" s="12">
        <v>5.0</v>
      </c>
      <c r="E347" s="12" t="s">
        <v>28</v>
      </c>
      <c r="F347" s="17">
        <v>0.0</v>
      </c>
      <c r="G347" s="12">
        <v>1.0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44782.0</v>
      </c>
    </row>
    <row r="348" ht="15.75" customHeight="1">
      <c r="A348" s="12">
        <v>487.0</v>
      </c>
      <c r="B348" s="12" t="s">
        <v>27</v>
      </c>
      <c r="C348" s="12">
        <v>30.0</v>
      </c>
      <c r="D348" s="12">
        <v>6.0</v>
      </c>
      <c r="E348" s="12" t="s">
        <v>28</v>
      </c>
      <c r="F348" s="17">
        <v>0.0</v>
      </c>
      <c r="G348" s="12">
        <v>1.0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44782.0</v>
      </c>
    </row>
    <row r="349" ht="15.75" customHeight="1">
      <c r="A349" s="12">
        <v>487.0</v>
      </c>
      <c r="B349" s="12" t="s">
        <v>27</v>
      </c>
      <c r="C349" s="12">
        <v>30.0</v>
      </c>
      <c r="D349" s="12">
        <v>7.0</v>
      </c>
      <c r="E349" s="12" t="s">
        <v>28</v>
      </c>
      <c r="F349" s="17">
        <v>0.0</v>
      </c>
      <c r="G349" s="12">
        <v>1.0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44782.0</v>
      </c>
    </row>
    <row r="350" ht="15.75" customHeight="1">
      <c r="A350" s="12">
        <v>487.0</v>
      </c>
      <c r="B350" s="12" t="s">
        <v>27</v>
      </c>
      <c r="C350" s="12">
        <v>30.0</v>
      </c>
      <c r="D350" s="12">
        <v>8.0</v>
      </c>
      <c r="E350" s="12" t="s">
        <v>28</v>
      </c>
      <c r="F350" s="17">
        <v>0.0</v>
      </c>
      <c r="G350" s="12">
        <v>1.0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44782.0</v>
      </c>
    </row>
    <row r="351" ht="15.75" customHeight="1">
      <c r="A351" s="12">
        <v>487.0</v>
      </c>
      <c r="B351" s="12" t="s">
        <v>27</v>
      </c>
      <c r="C351" s="12">
        <v>30.0</v>
      </c>
      <c r="D351" s="12">
        <v>9.0</v>
      </c>
      <c r="E351" s="12" t="s">
        <v>28</v>
      </c>
      <c r="F351" s="17">
        <v>0.0</v>
      </c>
      <c r="G351" s="12">
        <v>0.0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44782.0</v>
      </c>
    </row>
    <row r="352" ht="15.75" customHeight="1">
      <c r="A352" s="12">
        <v>487.0</v>
      </c>
      <c r="B352" s="12" t="s">
        <v>27</v>
      </c>
      <c r="C352" s="12">
        <v>30.0</v>
      </c>
      <c r="D352" s="12">
        <v>10.0</v>
      </c>
      <c r="E352" s="12" t="s">
        <v>28</v>
      </c>
      <c r="F352" s="21">
        <v>0.0</v>
      </c>
      <c r="G352" s="12">
        <v>1.0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44782.0</v>
      </c>
    </row>
    <row r="353" ht="15.75" customHeight="1">
      <c r="A353" s="22">
        <v>487.0</v>
      </c>
      <c r="B353" s="12" t="s">
        <v>27</v>
      </c>
      <c r="C353" s="12">
        <v>30.0</v>
      </c>
      <c r="D353" s="12" t="s">
        <v>28</v>
      </c>
      <c r="E353" s="12">
        <v>10.0</v>
      </c>
      <c r="F353" s="23">
        <f t="shared" ref="F353:N353" si="32">AVERAGE(F343:F352)</f>
        <v>0</v>
      </c>
      <c r="G353" s="24">
        <f t="shared" si="32"/>
        <v>0.8</v>
      </c>
      <c r="H353" s="24">
        <f t="shared" si="32"/>
        <v>0</v>
      </c>
      <c r="I353" s="24">
        <f t="shared" si="32"/>
        <v>0</v>
      </c>
      <c r="J353" s="24">
        <f t="shared" si="32"/>
        <v>0</v>
      </c>
      <c r="K353" s="24">
        <f t="shared" si="32"/>
        <v>0.1</v>
      </c>
      <c r="L353" s="24">
        <f t="shared" si="32"/>
        <v>0</v>
      </c>
      <c r="M353" s="24">
        <f t="shared" si="32"/>
        <v>0.1</v>
      </c>
      <c r="N353" s="25">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44782.0</v>
      </c>
    </row>
    <row r="354" ht="15.75" customHeight="1">
      <c r="A354" s="12">
        <v>484.0</v>
      </c>
      <c r="B354" s="13" t="s">
        <v>27</v>
      </c>
      <c r="C354" s="13">
        <v>33.0</v>
      </c>
      <c r="D354" s="13">
        <v>1.0</v>
      </c>
      <c r="E354" s="13" t="s">
        <v>28</v>
      </c>
      <c r="F354" s="14">
        <v>0.0</v>
      </c>
      <c r="G354" s="13">
        <v>1.0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44782.0</v>
      </c>
    </row>
    <row r="355" ht="15.75" customHeight="1">
      <c r="A355" s="12">
        <v>484.0</v>
      </c>
      <c r="B355" s="12" t="s">
        <v>27</v>
      </c>
      <c r="C355" s="12">
        <v>33.0</v>
      </c>
      <c r="D355" s="12">
        <v>2.0</v>
      </c>
      <c r="E355" s="12" t="s">
        <v>28</v>
      </c>
      <c r="F355" s="17">
        <v>0.0</v>
      </c>
      <c r="G355" s="12">
        <v>1.0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44782.0</v>
      </c>
    </row>
    <row r="356" ht="15.75"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44782.0</v>
      </c>
    </row>
    <row r="357" ht="15.75" customHeight="1">
      <c r="A357" s="12">
        <v>484.0</v>
      </c>
      <c r="B357" s="12" t="s">
        <v>27</v>
      </c>
      <c r="C357" s="12">
        <v>33.0</v>
      </c>
      <c r="D357" s="12">
        <v>4.0</v>
      </c>
      <c r="E357" s="12" t="s">
        <v>28</v>
      </c>
      <c r="F357" s="17">
        <v>1.0</v>
      </c>
      <c r="G357" s="12">
        <v>0.0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44782.0</v>
      </c>
    </row>
    <row r="358" ht="15.75" customHeight="1">
      <c r="A358" s="12">
        <v>484.0</v>
      </c>
      <c r="B358" s="12" t="s">
        <v>27</v>
      </c>
      <c r="C358" s="12">
        <v>33.0</v>
      </c>
      <c r="D358" s="12">
        <v>5.0</v>
      </c>
      <c r="E358" s="12" t="s">
        <v>28</v>
      </c>
      <c r="F358" s="17">
        <v>0.0</v>
      </c>
      <c r="G358" s="12">
        <v>1.0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44782.0</v>
      </c>
    </row>
    <row r="359" ht="15.75" customHeight="1">
      <c r="A359" s="12">
        <v>484.0</v>
      </c>
      <c r="B359" s="12" t="s">
        <v>27</v>
      </c>
      <c r="C359" s="12">
        <v>33.0</v>
      </c>
      <c r="D359" s="12">
        <v>6.0</v>
      </c>
      <c r="E359" s="12" t="s">
        <v>28</v>
      </c>
      <c r="F359" s="17">
        <v>1.0</v>
      </c>
      <c r="G359" s="12">
        <v>0.0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44782.0</v>
      </c>
    </row>
    <row r="360" ht="15.75" customHeight="1">
      <c r="A360" s="12">
        <v>484.0</v>
      </c>
      <c r="B360" s="12" t="s">
        <v>27</v>
      </c>
      <c r="C360" s="12">
        <v>33.0</v>
      </c>
      <c r="D360" s="12">
        <v>7.0</v>
      </c>
      <c r="E360" s="12" t="s">
        <v>28</v>
      </c>
      <c r="F360" s="17">
        <v>0.0</v>
      </c>
      <c r="G360" s="12">
        <v>0.0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44782.0</v>
      </c>
    </row>
    <row r="361" ht="15.75" customHeight="1">
      <c r="A361" s="12">
        <v>484.0</v>
      </c>
      <c r="B361" s="12" t="s">
        <v>27</v>
      </c>
      <c r="C361" s="12">
        <v>33.0</v>
      </c>
      <c r="D361" s="12">
        <v>8.0</v>
      </c>
      <c r="E361" s="12" t="s">
        <v>28</v>
      </c>
      <c r="F361" s="17">
        <v>0.0</v>
      </c>
      <c r="G361" s="12">
        <v>0.0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44782.0</v>
      </c>
    </row>
    <row r="362" ht="15.75"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44782.0</v>
      </c>
    </row>
    <row r="363" ht="15.75" customHeight="1">
      <c r="A363" s="12">
        <v>484.0</v>
      </c>
      <c r="B363" s="12" t="s">
        <v>27</v>
      </c>
      <c r="C363" s="12">
        <v>33.0</v>
      </c>
      <c r="D363" s="12">
        <v>10.0</v>
      </c>
      <c r="E363" s="12" t="s">
        <v>28</v>
      </c>
      <c r="F363" s="21">
        <v>0.0</v>
      </c>
      <c r="G363" s="12">
        <v>0.0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44782.0</v>
      </c>
    </row>
    <row r="364" ht="15.75" customHeight="1">
      <c r="A364" s="22">
        <v>484.0</v>
      </c>
      <c r="B364" s="12" t="s">
        <v>27</v>
      </c>
      <c r="C364" s="12">
        <v>33.0</v>
      </c>
      <c r="D364" s="12" t="s">
        <v>28</v>
      </c>
      <c r="E364" s="12">
        <v>12.0</v>
      </c>
      <c r="F364" s="23">
        <f t="shared" ref="F364:N364" si="33">AVERAGE(F354:F363)</f>
        <v>0.2</v>
      </c>
      <c r="G364" s="24">
        <f t="shared" si="33"/>
        <v>0.3</v>
      </c>
      <c r="H364" s="24">
        <f t="shared" si="33"/>
        <v>0</v>
      </c>
      <c r="I364" s="24">
        <f t="shared" si="33"/>
        <v>0</v>
      </c>
      <c r="J364" s="24">
        <f t="shared" si="33"/>
        <v>0</v>
      </c>
      <c r="K364" s="24">
        <f t="shared" si="33"/>
        <v>0</v>
      </c>
      <c r="L364" s="24">
        <f t="shared" si="33"/>
        <v>0</v>
      </c>
      <c r="M364" s="24">
        <f t="shared" si="33"/>
        <v>0</v>
      </c>
      <c r="N364" s="25">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44782.0</v>
      </c>
    </row>
    <row r="365" ht="15.75" customHeight="1">
      <c r="A365" s="12">
        <v>486.0</v>
      </c>
      <c r="B365" s="13" t="s">
        <v>27</v>
      </c>
      <c r="C365" s="13">
        <v>34.0</v>
      </c>
      <c r="D365" s="13">
        <v>1.0</v>
      </c>
      <c r="E365" s="13" t="s">
        <v>28</v>
      </c>
      <c r="F365" s="14">
        <v>0.0</v>
      </c>
      <c r="G365" s="13">
        <v>1.0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44782.0</v>
      </c>
    </row>
    <row r="366" ht="15.75" customHeight="1">
      <c r="A366" s="12">
        <v>486.0</v>
      </c>
      <c r="B366" s="12" t="s">
        <v>27</v>
      </c>
      <c r="C366" s="12">
        <v>34.0</v>
      </c>
      <c r="D366" s="12">
        <v>2.0</v>
      </c>
      <c r="E366" s="12" t="s">
        <v>28</v>
      </c>
      <c r="F366" s="17">
        <v>0.0</v>
      </c>
      <c r="G366" s="12">
        <v>1.0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44782.0</v>
      </c>
    </row>
    <row r="367" ht="15.75" customHeight="1">
      <c r="A367" s="12">
        <v>486.0</v>
      </c>
      <c r="B367" s="12" t="s">
        <v>27</v>
      </c>
      <c r="C367" s="12">
        <v>34.0</v>
      </c>
      <c r="D367" s="12">
        <v>3.0</v>
      </c>
      <c r="E367" s="12" t="s">
        <v>28</v>
      </c>
      <c r="F367" s="17">
        <v>0.0</v>
      </c>
      <c r="G367" s="12">
        <v>0.0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44782.0</v>
      </c>
    </row>
    <row r="368" ht="15.75" customHeight="1">
      <c r="A368" s="12">
        <v>486.0</v>
      </c>
      <c r="B368" s="12" t="s">
        <v>27</v>
      </c>
      <c r="C368" s="12">
        <v>34.0</v>
      </c>
      <c r="D368" s="12">
        <v>4.0</v>
      </c>
      <c r="E368" s="12" t="s">
        <v>28</v>
      </c>
      <c r="F368" s="17">
        <v>0.0</v>
      </c>
      <c r="G368" s="12">
        <v>1.0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44782.0</v>
      </c>
    </row>
    <row r="369" ht="15.75" customHeight="1">
      <c r="A369" s="12">
        <v>486.0</v>
      </c>
      <c r="B369" s="12" t="s">
        <v>27</v>
      </c>
      <c r="C369" s="12">
        <v>34.0</v>
      </c>
      <c r="D369" s="12">
        <v>5.0</v>
      </c>
      <c r="E369" s="12" t="s">
        <v>28</v>
      </c>
      <c r="F369" s="17">
        <v>0.0</v>
      </c>
      <c r="G369" s="12">
        <v>1.0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44782.0</v>
      </c>
    </row>
    <row r="370" ht="15.75" customHeight="1">
      <c r="A370" s="12">
        <v>486.0</v>
      </c>
      <c r="B370" s="12" t="s">
        <v>27</v>
      </c>
      <c r="C370" s="12">
        <v>34.0</v>
      </c>
      <c r="D370" s="12">
        <v>6.0</v>
      </c>
      <c r="E370" s="12" t="s">
        <v>28</v>
      </c>
      <c r="F370" s="17">
        <v>0.0</v>
      </c>
      <c r="G370" s="12">
        <v>1.0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44782.0</v>
      </c>
    </row>
    <row r="371" ht="15.75" customHeight="1">
      <c r="A371" s="12">
        <v>486.0</v>
      </c>
      <c r="B371" s="12" t="s">
        <v>27</v>
      </c>
      <c r="C371" s="12">
        <v>34.0</v>
      </c>
      <c r="D371" s="12">
        <v>7.0</v>
      </c>
      <c r="E371" s="12" t="s">
        <v>28</v>
      </c>
      <c r="F371" s="17">
        <v>0.0</v>
      </c>
      <c r="G371" s="12">
        <v>0.0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44782.0</v>
      </c>
    </row>
    <row r="372" ht="15.75" customHeight="1">
      <c r="A372" s="12">
        <v>486.0</v>
      </c>
      <c r="B372" s="12" t="s">
        <v>27</v>
      </c>
      <c r="C372" s="12">
        <v>34.0</v>
      </c>
      <c r="D372" s="12">
        <v>8.0</v>
      </c>
      <c r="E372" s="12" t="s">
        <v>28</v>
      </c>
      <c r="F372" s="17">
        <v>0.0</v>
      </c>
      <c r="G372" s="12">
        <v>1.0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44782.0</v>
      </c>
    </row>
    <row r="373" ht="15.75" customHeight="1">
      <c r="A373" s="12">
        <v>486.0</v>
      </c>
      <c r="B373" s="12" t="s">
        <v>27</v>
      </c>
      <c r="C373" s="12">
        <v>34.0</v>
      </c>
      <c r="D373" s="12">
        <v>9.0</v>
      </c>
      <c r="E373" s="12" t="s">
        <v>28</v>
      </c>
      <c r="F373" s="17">
        <v>0.0</v>
      </c>
      <c r="G373" s="12">
        <v>1.0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44782.0</v>
      </c>
    </row>
    <row r="374" ht="15.75" customHeight="1">
      <c r="A374" s="12">
        <v>486.0</v>
      </c>
      <c r="B374" s="12" t="s">
        <v>27</v>
      </c>
      <c r="C374" s="12">
        <v>34.0</v>
      </c>
      <c r="D374" s="12">
        <v>10.0</v>
      </c>
      <c r="E374" s="12" t="s">
        <v>28</v>
      </c>
      <c r="F374" s="21">
        <v>0.0</v>
      </c>
      <c r="G374" s="12">
        <v>1.0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44782.0</v>
      </c>
    </row>
    <row r="375" ht="15.75" customHeight="1">
      <c r="A375" s="22">
        <v>486.0</v>
      </c>
      <c r="B375" s="12" t="s">
        <v>27</v>
      </c>
      <c r="C375" s="12">
        <v>34.0</v>
      </c>
      <c r="D375" s="12" t="s">
        <v>28</v>
      </c>
      <c r="E375" s="12">
        <v>8.0</v>
      </c>
      <c r="F375" s="23">
        <f t="shared" ref="F375:N375" si="34">AVERAGE(F365:F374)</f>
        <v>0</v>
      </c>
      <c r="G375" s="24">
        <f t="shared" si="34"/>
        <v>0.8</v>
      </c>
      <c r="H375" s="24">
        <f t="shared" si="34"/>
        <v>0</v>
      </c>
      <c r="I375" s="24">
        <f t="shared" si="34"/>
        <v>0</v>
      </c>
      <c r="J375" s="24">
        <f t="shared" si="34"/>
        <v>0</v>
      </c>
      <c r="K375" s="24">
        <f t="shared" si="34"/>
        <v>0</v>
      </c>
      <c r="L375" s="24">
        <f t="shared" si="34"/>
        <v>0</v>
      </c>
      <c r="M375" s="24">
        <f t="shared" si="34"/>
        <v>0</v>
      </c>
      <c r="N375" s="25">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44782.0</v>
      </c>
    </row>
    <row r="376" ht="15.75" customHeight="1">
      <c r="A376" s="12">
        <v>487.0</v>
      </c>
      <c r="B376" s="13" t="s">
        <v>27</v>
      </c>
      <c r="C376" s="13">
        <v>35.0</v>
      </c>
      <c r="D376" s="13">
        <v>1.0</v>
      </c>
      <c r="E376" s="13" t="s">
        <v>28</v>
      </c>
      <c r="F376" s="14">
        <v>0.0</v>
      </c>
      <c r="G376" s="13">
        <v>1.0</v>
      </c>
      <c r="H376" s="13">
        <v>0.0</v>
      </c>
      <c r="I376" s="13">
        <v>0.0</v>
      </c>
      <c r="J376" s="13">
        <v>0.0</v>
      </c>
      <c r="K376" s="13">
        <v>0.0</v>
      </c>
      <c r="L376" s="13">
        <v>0.0</v>
      </c>
      <c r="M376" s="13">
        <v>0.0</v>
      </c>
      <c r="N376" s="15">
        <v>0.0</v>
      </c>
      <c r="O376" s="13">
        <v>0.0</v>
      </c>
      <c r="P376" s="13">
        <v>0.1</v>
      </c>
      <c r="Q376" s="13">
        <v>0.0</v>
      </c>
      <c r="R376" s="13">
        <v>0.0</v>
      </c>
      <c r="S376" s="13">
        <v>0.0</v>
      </c>
      <c r="T376" s="13">
        <v>0.0</v>
      </c>
      <c r="U376" s="13">
        <v>0.0</v>
      </c>
      <c r="V376" s="13">
        <v>0.0</v>
      </c>
      <c r="W376" s="15">
        <v>0.0</v>
      </c>
      <c r="X376" s="13">
        <v>36.007465</v>
      </c>
      <c r="Y376" s="13">
        <v>-79.019298</v>
      </c>
      <c r="Z376" s="13" t="s">
        <v>29</v>
      </c>
      <c r="AA376" s="16">
        <v>44782.0</v>
      </c>
    </row>
    <row r="377" ht="15.75" customHeight="1">
      <c r="A377" s="12">
        <v>487.0</v>
      </c>
      <c r="B377" s="12" t="s">
        <v>27</v>
      </c>
      <c r="C377" s="12">
        <v>35.0</v>
      </c>
      <c r="D377" s="12">
        <v>2.0</v>
      </c>
      <c r="E377" s="12" t="s">
        <v>28</v>
      </c>
      <c r="F377" s="17">
        <v>0.0</v>
      </c>
      <c r="G377" s="12">
        <v>1.0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44782.0</v>
      </c>
    </row>
    <row r="378" ht="15.75" customHeight="1">
      <c r="A378" s="12">
        <v>487.0</v>
      </c>
      <c r="B378" s="12" t="s">
        <v>27</v>
      </c>
      <c r="C378" s="12">
        <v>35.0</v>
      </c>
      <c r="D378" s="12">
        <v>3.0</v>
      </c>
      <c r="E378" s="12" t="s">
        <v>28</v>
      </c>
      <c r="F378" s="17">
        <v>0.0</v>
      </c>
      <c r="G378" s="12">
        <v>1.0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44782.0</v>
      </c>
    </row>
    <row r="379" ht="15.75"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44782.0</v>
      </c>
    </row>
    <row r="380" ht="15.75" customHeight="1">
      <c r="A380" s="12">
        <v>487.0</v>
      </c>
      <c r="B380" s="12" t="s">
        <v>27</v>
      </c>
      <c r="C380" s="12">
        <v>35.0</v>
      </c>
      <c r="D380" s="12">
        <v>5.0</v>
      </c>
      <c r="E380" s="12" t="s">
        <v>28</v>
      </c>
      <c r="F380" s="17">
        <v>1.0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44782.0</v>
      </c>
    </row>
    <row r="381" ht="15.75" customHeight="1">
      <c r="A381" s="12">
        <v>487.0</v>
      </c>
      <c r="B381" s="12" t="s">
        <v>27</v>
      </c>
      <c r="C381" s="12">
        <v>35.0</v>
      </c>
      <c r="D381" s="12">
        <v>6.0</v>
      </c>
      <c r="E381" s="12" t="s">
        <v>28</v>
      </c>
      <c r="F381" s="17">
        <v>0.0</v>
      </c>
      <c r="G381" s="12">
        <v>1.0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44782.0</v>
      </c>
    </row>
    <row r="382" ht="15.75"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44782.0</v>
      </c>
    </row>
    <row r="383" ht="15.75" customHeight="1">
      <c r="A383" s="12">
        <v>487.0</v>
      </c>
      <c r="B383" s="12" t="s">
        <v>27</v>
      </c>
      <c r="C383" s="12">
        <v>35.0</v>
      </c>
      <c r="D383" s="12">
        <v>8.0</v>
      </c>
      <c r="E383" s="12" t="s">
        <v>28</v>
      </c>
      <c r="F383" s="17">
        <v>0.0</v>
      </c>
      <c r="G383" s="12">
        <v>1.0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44782.0</v>
      </c>
    </row>
    <row r="384" ht="15.75" customHeight="1">
      <c r="A384" s="12">
        <v>487.0</v>
      </c>
      <c r="B384" s="12" t="s">
        <v>27</v>
      </c>
      <c r="C384" s="12">
        <v>35.0</v>
      </c>
      <c r="D384" s="12">
        <v>9.0</v>
      </c>
      <c r="E384" s="12" t="s">
        <v>28</v>
      </c>
      <c r="F384" s="17">
        <v>0.0</v>
      </c>
      <c r="G384" s="12">
        <v>1.0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44782.0</v>
      </c>
    </row>
    <row r="385" ht="15.75" customHeight="1">
      <c r="A385" s="12">
        <v>487.0</v>
      </c>
      <c r="B385" s="12" t="s">
        <v>27</v>
      </c>
      <c r="C385" s="12">
        <v>35.0</v>
      </c>
      <c r="D385" s="12">
        <v>10.0</v>
      </c>
      <c r="E385" s="12" t="s">
        <v>28</v>
      </c>
      <c r="F385" s="21">
        <v>0.0</v>
      </c>
      <c r="G385" s="12">
        <v>0.0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44782.0</v>
      </c>
    </row>
    <row r="386" ht="15.75" customHeight="1">
      <c r="A386" s="22">
        <v>487.0</v>
      </c>
      <c r="B386" s="12" t="s">
        <v>27</v>
      </c>
      <c r="C386" s="12">
        <v>35.0</v>
      </c>
      <c r="D386" s="12" t="s">
        <v>28</v>
      </c>
      <c r="E386" s="12">
        <v>9.0</v>
      </c>
      <c r="F386" s="23">
        <f t="shared" ref="F386:N386" si="35">AVERAGE(F376:F385)</f>
        <v>0.1</v>
      </c>
      <c r="G386" s="24">
        <f t="shared" si="35"/>
        <v>0.6</v>
      </c>
      <c r="H386" s="24">
        <f t="shared" si="35"/>
        <v>0</v>
      </c>
      <c r="I386" s="24">
        <f t="shared" si="35"/>
        <v>0</v>
      </c>
      <c r="J386" s="24">
        <f t="shared" si="35"/>
        <v>0</v>
      </c>
      <c r="K386" s="24">
        <f t="shared" si="35"/>
        <v>0</v>
      </c>
      <c r="L386" s="24">
        <f t="shared" si="35"/>
        <v>0</v>
      </c>
      <c r="M386" s="24">
        <f t="shared" si="35"/>
        <v>0</v>
      </c>
      <c r="N386" s="25">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44782.0</v>
      </c>
    </row>
    <row r="387" ht="15.75" customHeight="1">
      <c r="A387" s="12">
        <v>490.0</v>
      </c>
      <c r="B387" s="13" t="s">
        <v>27</v>
      </c>
      <c r="C387" s="13">
        <v>26.0</v>
      </c>
      <c r="D387" s="13">
        <v>1.0</v>
      </c>
      <c r="E387" s="13" t="s">
        <v>28</v>
      </c>
      <c r="F387" s="14">
        <v>0.0</v>
      </c>
      <c r="G387" s="13">
        <v>0.0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44782.0</v>
      </c>
    </row>
    <row r="388" ht="15.75" customHeight="1">
      <c r="A388" s="12">
        <v>490.0</v>
      </c>
      <c r="B388" s="12" t="s">
        <v>27</v>
      </c>
      <c r="C388" s="12">
        <v>26.0</v>
      </c>
      <c r="D388" s="12">
        <v>2.0</v>
      </c>
      <c r="E388" s="12" t="s">
        <v>28</v>
      </c>
      <c r="F388" s="17">
        <v>0.0</v>
      </c>
      <c r="G388" s="12">
        <v>1.0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44782.0</v>
      </c>
    </row>
    <row r="389" ht="15.75" customHeight="1">
      <c r="A389" s="12">
        <v>490.0</v>
      </c>
      <c r="B389" s="12" t="s">
        <v>27</v>
      </c>
      <c r="C389" s="12">
        <v>26.0</v>
      </c>
      <c r="D389" s="12">
        <v>3.0</v>
      </c>
      <c r="E389" s="12" t="s">
        <v>28</v>
      </c>
      <c r="F389" s="17">
        <v>1.0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44782.0</v>
      </c>
    </row>
    <row r="390" ht="15.75" customHeight="1">
      <c r="A390" s="12">
        <v>490.0</v>
      </c>
      <c r="B390" s="12" t="s">
        <v>27</v>
      </c>
      <c r="C390" s="12">
        <v>26.0</v>
      </c>
      <c r="D390" s="12">
        <v>4.0</v>
      </c>
      <c r="E390" s="12" t="s">
        <v>28</v>
      </c>
      <c r="F390" s="17">
        <v>0.0</v>
      </c>
      <c r="G390" s="12">
        <v>1.0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44782.0</v>
      </c>
    </row>
    <row r="391" ht="15.75" customHeight="1">
      <c r="A391" s="12">
        <v>490.0</v>
      </c>
      <c r="B391" s="12" t="s">
        <v>27</v>
      </c>
      <c r="C391" s="12">
        <v>26.0</v>
      </c>
      <c r="D391" s="12">
        <v>5.0</v>
      </c>
      <c r="E391" s="12" t="s">
        <v>28</v>
      </c>
      <c r="F391" s="17">
        <v>0.0</v>
      </c>
      <c r="G391" s="12">
        <v>1.0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44782.0</v>
      </c>
    </row>
    <row r="392" ht="15.75" customHeight="1">
      <c r="A392" s="12">
        <v>490.0</v>
      </c>
      <c r="B392" s="12" t="s">
        <v>27</v>
      </c>
      <c r="C392" s="12">
        <v>26.0</v>
      </c>
      <c r="D392" s="12">
        <v>6.0</v>
      </c>
      <c r="E392" s="12" t="s">
        <v>28</v>
      </c>
      <c r="F392" s="17">
        <v>0.0</v>
      </c>
      <c r="G392" s="12">
        <v>0.0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44782.0</v>
      </c>
    </row>
    <row r="393" ht="15.75" customHeight="1">
      <c r="A393" s="12">
        <v>490.0</v>
      </c>
      <c r="B393" s="12" t="s">
        <v>27</v>
      </c>
      <c r="C393" s="12">
        <v>26.0</v>
      </c>
      <c r="D393" s="12">
        <v>7.0</v>
      </c>
      <c r="E393" s="12" t="s">
        <v>28</v>
      </c>
      <c r="F393" s="17">
        <v>0.0</v>
      </c>
      <c r="G393" s="12">
        <v>1.0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44782.0</v>
      </c>
    </row>
    <row r="394" ht="15.75" customHeight="1">
      <c r="A394" s="12">
        <v>490.0</v>
      </c>
      <c r="B394" s="12" t="s">
        <v>27</v>
      </c>
      <c r="C394" s="12">
        <v>26.0</v>
      </c>
      <c r="D394" s="12">
        <v>8.0</v>
      </c>
      <c r="E394" s="12" t="s">
        <v>28</v>
      </c>
      <c r="F394" s="17">
        <v>0.0</v>
      </c>
      <c r="G394" s="12">
        <v>1.0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44782.0</v>
      </c>
    </row>
    <row r="395" ht="15.75" customHeight="1">
      <c r="A395" s="12">
        <v>490.0</v>
      </c>
      <c r="B395" s="12" t="s">
        <v>27</v>
      </c>
      <c r="C395" s="12">
        <v>26.0</v>
      </c>
      <c r="D395" s="12">
        <v>9.0</v>
      </c>
      <c r="E395" s="12" t="s">
        <v>28</v>
      </c>
      <c r="F395" s="17">
        <v>0.0</v>
      </c>
      <c r="G395" s="12">
        <v>0.0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44782.0</v>
      </c>
    </row>
    <row r="396" ht="15.75" customHeight="1">
      <c r="A396" s="12">
        <v>490.0</v>
      </c>
      <c r="B396" s="12" t="s">
        <v>27</v>
      </c>
      <c r="C396" s="12">
        <v>26.0</v>
      </c>
      <c r="D396" s="12">
        <v>10.0</v>
      </c>
      <c r="E396" s="12" t="s">
        <v>28</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44782.0</v>
      </c>
    </row>
    <row r="397" ht="15.75" customHeight="1">
      <c r="A397" s="22">
        <v>490.0</v>
      </c>
      <c r="B397" s="22" t="s">
        <v>27</v>
      </c>
      <c r="C397" s="22">
        <v>26.0</v>
      </c>
      <c r="D397" s="22" t="s">
        <v>28</v>
      </c>
      <c r="E397" s="22">
        <v>8.0</v>
      </c>
      <c r="F397" s="23">
        <f t="shared" ref="F397:N397" si="36">AVERAGE(F387:F396)</f>
        <v>0.1</v>
      </c>
      <c r="G397" s="24">
        <f t="shared" si="36"/>
        <v>0.6</v>
      </c>
      <c r="H397" s="24">
        <f t="shared" si="36"/>
        <v>0</v>
      </c>
      <c r="I397" s="24">
        <f t="shared" si="36"/>
        <v>0</v>
      </c>
      <c r="J397" s="24">
        <f t="shared" si="36"/>
        <v>0</v>
      </c>
      <c r="K397" s="24">
        <f t="shared" si="36"/>
        <v>0</v>
      </c>
      <c r="L397" s="24">
        <f t="shared" si="36"/>
        <v>0</v>
      </c>
      <c r="M397" s="24">
        <f t="shared" si="36"/>
        <v>0</v>
      </c>
      <c r="N397" s="25">
        <f t="shared" si="36"/>
        <v>0</v>
      </c>
      <c r="O397" s="22">
        <v>0.0</v>
      </c>
      <c r="P397" s="22">
        <v>0.0</v>
      </c>
      <c r="Q397" s="22">
        <v>0.0</v>
      </c>
      <c r="R397" s="22">
        <v>0.0</v>
      </c>
      <c r="S397" s="22">
        <v>0.0</v>
      </c>
      <c r="T397" s="22">
        <v>0.0</v>
      </c>
      <c r="U397" s="22">
        <v>0.0</v>
      </c>
      <c r="V397" s="22">
        <v>0.0</v>
      </c>
      <c r="W397" s="26">
        <v>0.0</v>
      </c>
      <c r="X397" s="22">
        <v>36.007327</v>
      </c>
      <c r="Y397" s="22">
        <v>-79.01945</v>
      </c>
      <c r="Z397" s="22" t="s">
        <v>29</v>
      </c>
      <c r="AA397" s="27">
        <v>44782.0</v>
      </c>
      <c r="AB397" s="28"/>
      <c r="AC397" s="2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30</v>
      </c>
      <c r="B1" s="29" t="s">
        <v>31</v>
      </c>
      <c r="C1" s="29" t="s">
        <v>32</v>
      </c>
      <c r="D1" s="29" t="s">
        <v>33</v>
      </c>
      <c r="E1" s="29" t="s">
        <v>34</v>
      </c>
      <c r="F1" s="29" t="s">
        <v>35</v>
      </c>
      <c r="G1" s="29" t="s">
        <v>36</v>
      </c>
      <c r="H1" s="29" t="s">
        <v>37</v>
      </c>
      <c r="I1" s="29" t="s">
        <v>38</v>
      </c>
      <c r="J1" s="29" t="s">
        <v>39</v>
      </c>
    </row>
    <row r="2">
      <c r="A2" s="30"/>
      <c r="B2" s="31">
        <v>0.8</v>
      </c>
      <c r="C2" s="31">
        <v>0.5</v>
      </c>
      <c r="D2" s="31">
        <v>0.0</v>
      </c>
      <c r="E2" s="31">
        <v>0.0</v>
      </c>
      <c r="F2" s="31">
        <v>0.0</v>
      </c>
      <c r="G2" s="31">
        <v>0.0</v>
      </c>
      <c r="H2" s="31">
        <v>0.0</v>
      </c>
      <c r="I2" s="31">
        <v>0.0</v>
      </c>
      <c r="J2" s="31">
        <v>0.0</v>
      </c>
    </row>
    <row r="3">
      <c r="A3" s="30"/>
      <c r="B3" s="31">
        <v>0.1</v>
      </c>
      <c r="C3" s="31">
        <v>0.7</v>
      </c>
      <c r="D3" s="31">
        <v>0.0</v>
      </c>
      <c r="E3" s="31">
        <v>0.0</v>
      </c>
      <c r="F3" s="31">
        <v>0.0</v>
      </c>
      <c r="G3" s="31">
        <v>0.2</v>
      </c>
      <c r="H3" s="31">
        <v>0.1</v>
      </c>
      <c r="I3" s="31">
        <v>0.0</v>
      </c>
      <c r="J3" s="31">
        <v>0.1</v>
      </c>
    </row>
    <row r="4">
      <c r="A4" s="30"/>
      <c r="B4" s="31">
        <v>0.0</v>
      </c>
      <c r="C4" s="31">
        <v>0.6</v>
      </c>
      <c r="D4" s="31">
        <v>0.0</v>
      </c>
      <c r="E4" s="31">
        <v>0.0</v>
      </c>
      <c r="F4" s="31">
        <v>0.0</v>
      </c>
      <c r="G4" s="31">
        <v>0.0</v>
      </c>
      <c r="H4" s="31">
        <v>0.0</v>
      </c>
      <c r="I4" s="31">
        <v>0.0</v>
      </c>
      <c r="J4" s="31">
        <v>0.0</v>
      </c>
    </row>
    <row r="5">
      <c r="A5" s="30"/>
      <c r="B5" s="31">
        <v>0.2</v>
      </c>
      <c r="C5" s="31">
        <v>0.9</v>
      </c>
      <c r="D5" s="31">
        <v>0.1</v>
      </c>
      <c r="E5" s="31">
        <v>0.0</v>
      </c>
      <c r="F5" s="31">
        <v>0.0</v>
      </c>
      <c r="G5" s="31">
        <v>0.1</v>
      </c>
      <c r="H5" s="31">
        <v>0.0</v>
      </c>
      <c r="I5" s="31">
        <v>0.0</v>
      </c>
      <c r="J5" s="31">
        <v>0.1</v>
      </c>
    </row>
    <row r="6">
      <c r="A6" s="30"/>
      <c r="B6" s="31">
        <v>0.0</v>
      </c>
      <c r="C6" s="31">
        <v>0.6</v>
      </c>
      <c r="D6" s="31">
        <v>0.0</v>
      </c>
      <c r="E6" s="31">
        <v>0.0</v>
      </c>
      <c r="F6" s="31">
        <v>0.0</v>
      </c>
      <c r="G6" s="31">
        <v>0.1</v>
      </c>
      <c r="H6" s="31">
        <v>0.1</v>
      </c>
      <c r="I6" s="31">
        <v>0.0</v>
      </c>
      <c r="J6" s="31">
        <v>0.0</v>
      </c>
    </row>
    <row r="7">
      <c r="A7" s="30"/>
      <c r="B7" s="31">
        <v>0.0</v>
      </c>
      <c r="C7" s="31">
        <v>0.5</v>
      </c>
      <c r="D7" s="31">
        <v>0.0</v>
      </c>
      <c r="E7" s="31">
        <v>0.0</v>
      </c>
      <c r="F7" s="31">
        <v>0.0</v>
      </c>
      <c r="G7" s="31">
        <v>0.1</v>
      </c>
      <c r="H7" s="31">
        <v>0.0</v>
      </c>
      <c r="I7" s="31">
        <v>0.0</v>
      </c>
      <c r="J7" s="31">
        <v>0.1</v>
      </c>
    </row>
    <row r="8">
      <c r="A8" s="30"/>
      <c r="B8" s="31">
        <v>0.4</v>
      </c>
      <c r="C8" s="31">
        <v>0.9</v>
      </c>
      <c r="D8" s="31">
        <v>0.0</v>
      </c>
      <c r="E8" s="31">
        <v>0.0</v>
      </c>
      <c r="F8" s="31">
        <v>0.0</v>
      </c>
      <c r="G8" s="31">
        <v>0.1</v>
      </c>
      <c r="H8" s="31">
        <v>0.1</v>
      </c>
      <c r="I8" s="31">
        <v>0.0</v>
      </c>
      <c r="J8" s="31">
        <v>0.0</v>
      </c>
    </row>
    <row r="9">
      <c r="A9" s="30"/>
      <c r="B9" s="31">
        <v>0.0</v>
      </c>
      <c r="C9" s="31">
        <v>0.8</v>
      </c>
      <c r="D9" s="31">
        <v>0.0</v>
      </c>
      <c r="E9" s="31">
        <v>0.0</v>
      </c>
      <c r="F9" s="31">
        <v>0.0</v>
      </c>
      <c r="G9" s="31">
        <v>0.1</v>
      </c>
      <c r="H9" s="31">
        <v>0.0</v>
      </c>
      <c r="I9" s="31">
        <v>0.0</v>
      </c>
      <c r="J9" s="31">
        <v>0.1</v>
      </c>
    </row>
    <row r="10">
      <c r="A10" s="30"/>
      <c r="B10" s="31">
        <v>0.0</v>
      </c>
      <c r="C10" s="31">
        <v>0.7</v>
      </c>
      <c r="D10" s="31">
        <v>0.0</v>
      </c>
      <c r="E10" s="31">
        <v>0.0</v>
      </c>
      <c r="F10" s="31">
        <v>0.0</v>
      </c>
      <c r="G10" s="31">
        <v>0.2</v>
      </c>
      <c r="H10" s="31">
        <v>0.1</v>
      </c>
      <c r="I10" s="31">
        <v>0.0</v>
      </c>
      <c r="J10" s="31">
        <v>0.1</v>
      </c>
    </row>
    <row r="11">
      <c r="A11" s="30"/>
      <c r="B11" s="31">
        <v>0.2</v>
      </c>
      <c r="C11" s="31">
        <v>0.6</v>
      </c>
      <c r="D11" s="31">
        <v>0.1</v>
      </c>
      <c r="E11" s="31">
        <v>0.0</v>
      </c>
      <c r="F11" s="31">
        <v>0.0</v>
      </c>
      <c r="G11" s="31">
        <v>0.2</v>
      </c>
      <c r="H11" s="31">
        <v>0.1</v>
      </c>
      <c r="I11" s="31">
        <v>0.0</v>
      </c>
      <c r="J11" s="31">
        <v>0.1</v>
      </c>
    </row>
    <row r="12">
      <c r="A12" s="30"/>
      <c r="B12" s="31">
        <v>0.0</v>
      </c>
      <c r="C12" s="31">
        <v>1.0</v>
      </c>
      <c r="D12" s="31">
        <v>0.0</v>
      </c>
      <c r="E12" s="31">
        <v>0.0</v>
      </c>
      <c r="F12" s="31">
        <v>0.0</v>
      </c>
      <c r="G12" s="31">
        <v>0.0</v>
      </c>
      <c r="H12" s="31">
        <v>0.0</v>
      </c>
      <c r="I12" s="31">
        <v>0.0</v>
      </c>
      <c r="J12" s="31">
        <v>0.0</v>
      </c>
    </row>
    <row r="13">
      <c r="A13" s="30"/>
      <c r="B13" s="31">
        <v>0.4</v>
      </c>
      <c r="C13" s="31">
        <v>0.6</v>
      </c>
      <c r="D13" s="31">
        <v>0.0</v>
      </c>
      <c r="E13" s="31">
        <v>0.0</v>
      </c>
      <c r="F13" s="31">
        <v>0.0</v>
      </c>
      <c r="G13" s="31">
        <v>0.0</v>
      </c>
      <c r="H13" s="31">
        <v>0.0</v>
      </c>
      <c r="I13" s="31">
        <v>0.0</v>
      </c>
      <c r="J13" s="31">
        <v>0.0</v>
      </c>
    </row>
    <row r="14">
      <c r="A14" s="30"/>
      <c r="B14" s="31">
        <v>0.1</v>
      </c>
      <c r="C14" s="31">
        <v>0.6</v>
      </c>
      <c r="D14" s="31">
        <v>0.0</v>
      </c>
      <c r="E14" s="31">
        <v>0.0</v>
      </c>
      <c r="F14" s="31">
        <v>0.0</v>
      </c>
      <c r="G14" s="31">
        <v>0.1</v>
      </c>
      <c r="H14" s="31">
        <v>0.0</v>
      </c>
      <c r="I14" s="31">
        <v>0.0</v>
      </c>
      <c r="J14" s="31">
        <v>0.1</v>
      </c>
    </row>
    <row r="15">
      <c r="A15" s="30"/>
      <c r="B15" s="31">
        <v>0.0</v>
      </c>
      <c r="C15" s="31">
        <v>0.7</v>
      </c>
      <c r="D15" s="31">
        <v>0.0</v>
      </c>
      <c r="E15" s="31">
        <v>0.0</v>
      </c>
      <c r="F15" s="31">
        <v>0.0</v>
      </c>
      <c r="G15" s="31">
        <v>0.0</v>
      </c>
      <c r="H15" s="31">
        <v>0.0</v>
      </c>
      <c r="I15" s="31">
        <v>0.0</v>
      </c>
      <c r="J15" s="31">
        <v>0.0</v>
      </c>
    </row>
    <row r="16">
      <c r="A16" s="30"/>
      <c r="B16" s="31">
        <v>0.0</v>
      </c>
      <c r="C16" s="31">
        <v>0.5</v>
      </c>
      <c r="D16" s="31">
        <v>0.0</v>
      </c>
      <c r="E16" s="31">
        <v>0.0</v>
      </c>
      <c r="F16" s="31">
        <v>0.0</v>
      </c>
      <c r="G16" s="31">
        <v>0.4</v>
      </c>
      <c r="H16" s="31">
        <v>0.0</v>
      </c>
      <c r="I16" s="31">
        <v>0.1</v>
      </c>
      <c r="J16" s="31">
        <v>0.3</v>
      </c>
    </row>
    <row r="17">
      <c r="A17" s="30"/>
      <c r="B17" s="31">
        <v>0.0</v>
      </c>
      <c r="C17" s="31">
        <v>0.6</v>
      </c>
      <c r="D17" s="31">
        <v>0.0</v>
      </c>
      <c r="E17" s="31">
        <v>0.0</v>
      </c>
      <c r="F17" s="31">
        <v>0.0</v>
      </c>
      <c r="G17" s="31">
        <v>0.1</v>
      </c>
      <c r="H17" s="31">
        <v>0.0</v>
      </c>
      <c r="I17" s="31">
        <v>0.0</v>
      </c>
      <c r="J17" s="31">
        <v>0.1</v>
      </c>
    </row>
    <row r="18">
      <c r="A18" s="30"/>
      <c r="B18" s="31">
        <v>0.1</v>
      </c>
      <c r="C18" s="31">
        <v>0.6</v>
      </c>
      <c r="D18" s="31">
        <v>0.0</v>
      </c>
      <c r="E18" s="31">
        <v>0.0</v>
      </c>
      <c r="F18" s="31">
        <v>0.0</v>
      </c>
      <c r="G18" s="31">
        <v>0.0</v>
      </c>
      <c r="H18" s="31">
        <v>0.0</v>
      </c>
      <c r="I18" s="31">
        <v>0.0</v>
      </c>
      <c r="J18" s="31">
        <v>0.0</v>
      </c>
    </row>
    <row r="19">
      <c r="A19" s="30"/>
      <c r="B19" s="31">
        <v>0.0</v>
      </c>
      <c r="C19" s="31">
        <v>0.8</v>
      </c>
      <c r="D19" s="31">
        <v>0.0</v>
      </c>
      <c r="E19" s="31">
        <v>0.0</v>
      </c>
      <c r="F19" s="31">
        <v>0.0</v>
      </c>
      <c r="G19" s="31">
        <v>0.3</v>
      </c>
      <c r="H19" s="31">
        <v>0.0</v>
      </c>
      <c r="I19" s="31">
        <v>0.0</v>
      </c>
      <c r="J19" s="31">
        <v>0.3</v>
      </c>
    </row>
    <row r="20">
      <c r="A20" s="30"/>
      <c r="B20" s="31">
        <v>0.0</v>
      </c>
      <c r="C20" s="31">
        <v>0.7</v>
      </c>
      <c r="D20" s="31">
        <v>0.0</v>
      </c>
      <c r="E20" s="31">
        <v>0.0</v>
      </c>
      <c r="F20" s="31">
        <v>0.0</v>
      </c>
      <c r="G20" s="31">
        <v>0.0</v>
      </c>
      <c r="H20" s="31">
        <v>0.0</v>
      </c>
      <c r="I20" s="31">
        <v>0.0</v>
      </c>
      <c r="J20" s="31">
        <v>0.0</v>
      </c>
    </row>
    <row r="21">
      <c r="A21" s="30"/>
      <c r="B21" s="31">
        <v>0.0</v>
      </c>
      <c r="C21" s="31">
        <v>0.9</v>
      </c>
      <c r="D21" s="31">
        <v>0.0</v>
      </c>
      <c r="E21" s="31">
        <v>0.0</v>
      </c>
      <c r="F21" s="31">
        <v>0.0</v>
      </c>
      <c r="G21" s="31">
        <v>0.0</v>
      </c>
      <c r="H21" s="31">
        <v>0.0</v>
      </c>
      <c r="I21" s="31">
        <v>0.0</v>
      </c>
      <c r="J21" s="31">
        <v>0.0</v>
      </c>
    </row>
    <row r="22">
      <c r="A22" s="30"/>
      <c r="B22" s="31">
        <v>0.0</v>
      </c>
      <c r="C22" s="31">
        <v>0.6</v>
      </c>
      <c r="D22" s="31">
        <v>0.0</v>
      </c>
      <c r="E22" s="31">
        <v>0.0</v>
      </c>
      <c r="F22" s="31">
        <v>0.0</v>
      </c>
      <c r="G22" s="31">
        <v>0.0</v>
      </c>
      <c r="H22" s="31">
        <v>0.0</v>
      </c>
      <c r="I22" s="31">
        <v>0.0</v>
      </c>
      <c r="J22" s="31">
        <v>0.0</v>
      </c>
    </row>
    <row r="23">
      <c r="A23" s="30"/>
      <c r="B23" s="31">
        <v>0.0</v>
      </c>
      <c r="C23" s="31">
        <v>0.6</v>
      </c>
      <c r="D23" s="31">
        <v>0.0</v>
      </c>
      <c r="E23" s="31">
        <v>0.0</v>
      </c>
      <c r="F23" s="31">
        <v>0.0</v>
      </c>
      <c r="G23" s="31">
        <v>0.2</v>
      </c>
      <c r="H23" s="31">
        <v>0.1</v>
      </c>
      <c r="I23" s="31">
        <v>0.0</v>
      </c>
      <c r="J23" s="31">
        <v>0.1</v>
      </c>
    </row>
    <row r="24">
      <c r="A24" s="30"/>
      <c r="B24" s="31">
        <v>0.0</v>
      </c>
      <c r="C24" s="31">
        <v>0.5</v>
      </c>
      <c r="D24" s="31">
        <v>0.0</v>
      </c>
      <c r="E24" s="31">
        <v>0.0</v>
      </c>
      <c r="F24" s="31">
        <v>0.0</v>
      </c>
      <c r="G24" s="31">
        <v>0.1</v>
      </c>
      <c r="H24" s="31">
        <v>0.1</v>
      </c>
      <c r="I24" s="31">
        <v>0.0</v>
      </c>
      <c r="J24" s="31">
        <v>0.0</v>
      </c>
    </row>
    <row r="25">
      <c r="A25" s="30"/>
      <c r="B25" s="31">
        <v>0.3</v>
      </c>
      <c r="C25" s="31">
        <v>0.5</v>
      </c>
      <c r="D25" s="31">
        <v>0.0</v>
      </c>
      <c r="E25" s="31">
        <v>0.0</v>
      </c>
      <c r="F25" s="31">
        <v>0.0</v>
      </c>
      <c r="G25" s="31">
        <v>0.0</v>
      </c>
      <c r="H25" s="31">
        <v>0.0</v>
      </c>
      <c r="I25" s="31">
        <v>0.0</v>
      </c>
      <c r="J25" s="31">
        <v>0.0</v>
      </c>
    </row>
    <row r="26">
      <c r="A26" s="30"/>
      <c r="B26" s="31">
        <v>0.0</v>
      </c>
      <c r="C26" s="31">
        <v>0.4</v>
      </c>
      <c r="D26" s="31">
        <v>0.0</v>
      </c>
      <c r="E26" s="31">
        <v>0.0</v>
      </c>
      <c r="F26" s="31">
        <v>0.0</v>
      </c>
      <c r="G26" s="31">
        <v>0.1</v>
      </c>
      <c r="H26" s="31">
        <v>0.1</v>
      </c>
      <c r="I26" s="31">
        <v>0.0</v>
      </c>
      <c r="J26" s="31">
        <v>0.0</v>
      </c>
    </row>
    <row r="27">
      <c r="A27" s="30"/>
      <c r="B27" s="31">
        <v>0.0</v>
      </c>
      <c r="C27" s="31">
        <v>0.4</v>
      </c>
      <c r="D27" s="31">
        <v>0.0</v>
      </c>
      <c r="E27" s="31">
        <v>0.0</v>
      </c>
      <c r="F27" s="31">
        <v>0.0</v>
      </c>
      <c r="G27" s="31">
        <v>0.2</v>
      </c>
      <c r="H27" s="31">
        <v>0.1</v>
      </c>
      <c r="I27" s="31">
        <v>0.1</v>
      </c>
      <c r="J27" s="31">
        <v>0.0</v>
      </c>
    </row>
    <row r="28">
      <c r="A28" s="30"/>
      <c r="B28" s="31">
        <v>0.0</v>
      </c>
      <c r="C28" s="31">
        <v>0.6</v>
      </c>
      <c r="D28" s="31">
        <v>0.0</v>
      </c>
      <c r="E28" s="31">
        <v>0.0</v>
      </c>
      <c r="F28" s="31">
        <v>0.0</v>
      </c>
      <c r="G28" s="31">
        <v>0.0</v>
      </c>
      <c r="H28" s="31">
        <v>0.0</v>
      </c>
      <c r="I28" s="31">
        <v>0.0</v>
      </c>
      <c r="J28" s="31">
        <v>0.0</v>
      </c>
    </row>
    <row r="29">
      <c r="A29" s="30"/>
      <c r="B29" s="31">
        <v>0.1</v>
      </c>
      <c r="C29" s="31">
        <v>1.0</v>
      </c>
      <c r="D29" s="31">
        <v>0.0</v>
      </c>
      <c r="E29" s="31">
        <v>0.0</v>
      </c>
      <c r="F29" s="31">
        <v>0.0</v>
      </c>
      <c r="G29" s="31">
        <v>0.0</v>
      </c>
      <c r="H29" s="31">
        <v>0.0</v>
      </c>
      <c r="I29" s="31">
        <v>0.0</v>
      </c>
      <c r="J29" s="31">
        <v>0.0</v>
      </c>
    </row>
    <row r="30">
      <c r="A30" s="30"/>
      <c r="B30" s="31">
        <v>0.0</v>
      </c>
      <c r="C30" s="31">
        <v>0.8</v>
      </c>
      <c r="D30" s="31">
        <v>0.0</v>
      </c>
      <c r="E30" s="31">
        <v>0.0</v>
      </c>
      <c r="F30" s="31">
        <v>0.0</v>
      </c>
      <c r="G30" s="31">
        <v>0.0</v>
      </c>
      <c r="H30" s="31">
        <v>0.0</v>
      </c>
      <c r="I30" s="31">
        <v>0.0</v>
      </c>
      <c r="J30" s="31">
        <v>0.0</v>
      </c>
    </row>
    <row r="31">
      <c r="A31" s="30"/>
      <c r="B31" s="31">
        <v>0.0</v>
      </c>
      <c r="C31" s="31">
        <v>0.5</v>
      </c>
      <c r="D31" s="31">
        <v>0.0</v>
      </c>
      <c r="E31" s="31">
        <v>0.0</v>
      </c>
      <c r="F31" s="31">
        <v>0.0</v>
      </c>
      <c r="G31" s="31">
        <v>0.5</v>
      </c>
      <c r="H31" s="31">
        <v>0.2</v>
      </c>
      <c r="I31" s="31">
        <v>0.2</v>
      </c>
      <c r="J31" s="31">
        <v>0.1</v>
      </c>
    </row>
    <row r="32">
      <c r="A32" s="30"/>
      <c r="B32" s="31">
        <v>0.4</v>
      </c>
      <c r="C32" s="31">
        <v>0.6</v>
      </c>
      <c r="D32" s="31">
        <v>0.0</v>
      </c>
      <c r="E32" s="31">
        <v>0.0</v>
      </c>
      <c r="F32" s="31">
        <v>0.0</v>
      </c>
      <c r="G32" s="31">
        <v>0.0</v>
      </c>
      <c r="H32" s="31">
        <v>0.0</v>
      </c>
      <c r="I32" s="31">
        <v>0.0</v>
      </c>
      <c r="J32" s="31">
        <v>0.0</v>
      </c>
    </row>
    <row r="33">
      <c r="A33" s="30"/>
      <c r="B33" s="31">
        <v>0.0</v>
      </c>
      <c r="C33" s="31">
        <v>0.8</v>
      </c>
      <c r="D33" s="31">
        <v>0.0</v>
      </c>
      <c r="E33" s="31">
        <v>0.0</v>
      </c>
      <c r="F33" s="31">
        <v>0.0</v>
      </c>
      <c r="G33" s="31">
        <v>0.1</v>
      </c>
      <c r="H33" s="31">
        <v>0.0</v>
      </c>
      <c r="I33" s="31">
        <v>0.1</v>
      </c>
      <c r="J33" s="31">
        <v>0.0</v>
      </c>
    </row>
    <row r="34">
      <c r="A34" s="30"/>
      <c r="B34" s="31">
        <v>0.2</v>
      </c>
      <c r="C34" s="31">
        <v>0.3</v>
      </c>
      <c r="D34" s="31">
        <v>0.0</v>
      </c>
      <c r="E34" s="31">
        <v>0.0</v>
      </c>
      <c r="F34" s="31">
        <v>0.0</v>
      </c>
      <c r="G34" s="31">
        <v>0.0</v>
      </c>
      <c r="H34" s="31">
        <v>0.0</v>
      </c>
      <c r="I34" s="31">
        <v>0.0</v>
      </c>
      <c r="J34" s="31">
        <v>0.0</v>
      </c>
    </row>
    <row r="35">
      <c r="A35" s="30"/>
      <c r="B35" s="31">
        <v>0.0</v>
      </c>
      <c r="C35" s="31">
        <v>0.8</v>
      </c>
      <c r="D35" s="31">
        <v>0.0</v>
      </c>
      <c r="E35" s="31">
        <v>0.0</v>
      </c>
      <c r="F35" s="31">
        <v>0.0</v>
      </c>
      <c r="G35" s="31">
        <v>0.0</v>
      </c>
      <c r="H35" s="31">
        <v>0.0</v>
      </c>
      <c r="I35" s="31">
        <v>0.0</v>
      </c>
      <c r="J35" s="31">
        <v>0.0</v>
      </c>
    </row>
    <row r="36">
      <c r="A36" s="30"/>
      <c r="B36" s="31">
        <v>0.1</v>
      </c>
      <c r="C36" s="31">
        <v>0.6</v>
      </c>
      <c r="D36" s="31">
        <v>0.0</v>
      </c>
      <c r="E36" s="31">
        <v>0.0</v>
      </c>
      <c r="F36" s="31">
        <v>0.0</v>
      </c>
      <c r="G36" s="31">
        <v>0.0</v>
      </c>
      <c r="H36" s="31">
        <v>0.0</v>
      </c>
      <c r="I36" s="31">
        <v>0.0</v>
      </c>
      <c r="J36" s="31">
        <v>0.0</v>
      </c>
    </row>
    <row r="37">
      <c r="A37" s="30"/>
      <c r="B37" s="31">
        <v>0.1</v>
      </c>
      <c r="C37" s="31">
        <v>0.6</v>
      </c>
      <c r="D37" s="31">
        <v>0.0</v>
      </c>
      <c r="E37" s="31">
        <v>0.0</v>
      </c>
      <c r="F37" s="31">
        <v>0.0</v>
      </c>
      <c r="G37" s="31">
        <v>0.0</v>
      </c>
      <c r="H37" s="31">
        <v>0.0</v>
      </c>
      <c r="I37" s="31">
        <v>0.0</v>
      </c>
      <c r="J37" s="31">
        <v>0.0</v>
      </c>
    </row>
    <row r="38">
      <c r="A38" s="29" t="s">
        <v>40</v>
      </c>
      <c r="B38" s="32">
        <f t="shared" ref="B38:J38" si="1">AVERAGE(B2:B37)</f>
        <v>0.09722222222</v>
      </c>
      <c r="C38" s="32">
        <f t="shared" si="1"/>
        <v>0.65</v>
      </c>
      <c r="D38" s="32">
        <f t="shared" si="1"/>
        <v>0.005555555556</v>
      </c>
      <c r="E38" s="32">
        <f t="shared" si="1"/>
        <v>0</v>
      </c>
      <c r="F38" s="32">
        <f t="shared" si="1"/>
        <v>0</v>
      </c>
      <c r="G38" s="32">
        <f t="shared" si="1"/>
        <v>0.08888888889</v>
      </c>
      <c r="H38" s="32">
        <f t="shared" si="1"/>
        <v>0.03055555556</v>
      </c>
      <c r="I38" s="32">
        <f t="shared" si="1"/>
        <v>0.01388888889</v>
      </c>
      <c r="J38" s="32">
        <f t="shared" si="1"/>
        <v>0.04444444444</v>
      </c>
    </row>
    <row r="39">
      <c r="A39" s="29" t="s">
        <v>41</v>
      </c>
      <c r="B39" s="32">
        <f>stdev(B2:B37)</f>
        <v>0.1731821685</v>
      </c>
      <c r="C39" s="32">
        <f t="shared" ref="C39:J39" si="2">STDEV(C2:C37)</f>
        <v>0.1664760815</v>
      </c>
      <c r="D39" s="32">
        <f t="shared" si="2"/>
        <v>0.02323106841</v>
      </c>
      <c r="E39" s="32">
        <f t="shared" si="2"/>
        <v>0</v>
      </c>
      <c r="F39" s="32">
        <f t="shared" si="2"/>
        <v>0</v>
      </c>
      <c r="G39" s="32">
        <f t="shared" si="2"/>
        <v>0.1213678653</v>
      </c>
      <c r="H39" s="32">
        <f t="shared" si="2"/>
        <v>0.05247826459</v>
      </c>
      <c r="I39" s="32">
        <f t="shared" si="2"/>
        <v>0.04244510928</v>
      </c>
      <c r="J39" s="32">
        <f t="shared" si="2"/>
        <v>0.07725447539</v>
      </c>
    </row>
    <row r="40">
      <c r="A40" s="29" t="s">
        <v>42</v>
      </c>
      <c r="B40" s="32">
        <f t="shared" ref="B40:J40" si="3">B39/sqrt(36)</f>
        <v>0.02886369475</v>
      </c>
      <c r="C40" s="32">
        <f t="shared" si="3"/>
        <v>0.02774601358</v>
      </c>
      <c r="D40" s="32">
        <f t="shared" si="3"/>
        <v>0.003871844736</v>
      </c>
      <c r="E40" s="32">
        <f t="shared" si="3"/>
        <v>0</v>
      </c>
      <c r="F40" s="32">
        <f t="shared" si="3"/>
        <v>0</v>
      </c>
      <c r="G40" s="32">
        <f t="shared" si="3"/>
        <v>0.02022797755</v>
      </c>
      <c r="H40" s="32">
        <f t="shared" si="3"/>
        <v>0.008746377431</v>
      </c>
      <c r="I40" s="32">
        <f t="shared" si="3"/>
        <v>0.00707418488</v>
      </c>
      <c r="J40" s="32">
        <f t="shared" si="3"/>
        <v>0.0128757459</v>
      </c>
    </row>
    <row r="41">
      <c r="A41" s="29" t="s">
        <v>43</v>
      </c>
      <c r="B41" s="32">
        <f>36</f>
        <v>36</v>
      </c>
      <c r="C41" s="32">
        <v>36.0</v>
      </c>
      <c r="D41" s="32">
        <f t="shared" ref="D41:J41" si="4">36</f>
        <v>36</v>
      </c>
      <c r="E41" s="32">
        <f t="shared" si="4"/>
        <v>36</v>
      </c>
      <c r="F41" s="32">
        <f t="shared" si="4"/>
        <v>36</v>
      </c>
      <c r="G41" s="32">
        <f t="shared" si="4"/>
        <v>36</v>
      </c>
      <c r="H41" s="32">
        <f t="shared" si="4"/>
        <v>36</v>
      </c>
      <c r="I41" s="32">
        <f t="shared" si="4"/>
        <v>36</v>
      </c>
      <c r="J41" s="32">
        <f t="shared" si="4"/>
        <v>36</v>
      </c>
    </row>
    <row r="42">
      <c r="A42" s="30"/>
      <c r="B42" s="30"/>
      <c r="C42" s="30"/>
      <c r="D42" s="30"/>
      <c r="E42" s="30"/>
      <c r="F42" s="30"/>
      <c r="G42" s="30"/>
      <c r="H42" s="30"/>
      <c r="I42" s="30"/>
      <c r="J42" s="30"/>
    </row>
    <row r="43">
      <c r="A43" s="30"/>
      <c r="B43" s="30"/>
      <c r="C43" s="30"/>
      <c r="D43" s="30"/>
      <c r="E43" s="30"/>
      <c r="F43" s="30"/>
      <c r="G43" s="30"/>
      <c r="H43" s="30"/>
      <c r="I43" s="30"/>
      <c r="J43" s="30"/>
    </row>
    <row r="44">
      <c r="A44" s="30"/>
      <c r="B44" s="30"/>
      <c r="C44" s="30"/>
      <c r="D44" s="30"/>
      <c r="E44" s="30"/>
      <c r="F44" s="30"/>
      <c r="G44" s="30"/>
      <c r="H44" s="30"/>
      <c r="I44" s="30"/>
      <c r="J44" s="30"/>
    </row>
    <row r="45">
      <c r="A45" s="30"/>
      <c r="B45" s="30"/>
      <c r="C45" s="30"/>
      <c r="D45" s="30"/>
      <c r="E45" s="30"/>
      <c r="F45" s="30"/>
      <c r="G45" s="30"/>
      <c r="H45" s="30"/>
      <c r="I45" s="30"/>
      <c r="J45" s="30"/>
    </row>
    <row r="46">
      <c r="A46" s="30"/>
      <c r="B46" s="30"/>
      <c r="C46" s="30"/>
      <c r="D46" s="30"/>
      <c r="E46" s="30"/>
      <c r="F46" s="30"/>
      <c r="G46" s="30"/>
      <c r="H46" s="30"/>
      <c r="I46" s="30"/>
      <c r="J46" s="30"/>
    </row>
    <row r="47">
      <c r="A47" s="30"/>
      <c r="B47" s="30"/>
      <c r="C47" s="30"/>
      <c r="D47" s="30"/>
      <c r="E47" s="30"/>
      <c r="F47" s="30"/>
      <c r="G47" s="30"/>
      <c r="H47" s="30"/>
      <c r="I47" s="30"/>
      <c r="J47" s="30"/>
    </row>
    <row r="48">
      <c r="A48" s="30"/>
      <c r="B48" s="30"/>
      <c r="C48" s="30"/>
      <c r="D48" s="30"/>
      <c r="E48" s="30"/>
      <c r="F48" s="30"/>
      <c r="G48" s="30"/>
      <c r="H48" s="30"/>
      <c r="I48" s="30"/>
      <c r="J48" s="30"/>
    </row>
    <row r="49">
      <c r="A49" s="30"/>
      <c r="B49" s="30"/>
      <c r="C49" s="30"/>
      <c r="D49" s="30"/>
      <c r="E49" s="30"/>
      <c r="F49" s="30"/>
      <c r="G49" s="30"/>
      <c r="H49" s="30"/>
      <c r="I49" s="30"/>
      <c r="J49"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30</v>
      </c>
      <c r="B1" s="29" t="s">
        <v>31</v>
      </c>
      <c r="C1" s="29" t="s">
        <v>32</v>
      </c>
      <c r="D1" s="29" t="s">
        <v>33</v>
      </c>
      <c r="E1" s="29" t="s">
        <v>34</v>
      </c>
      <c r="F1" s="29" t="s">
        <v>35</v>
      </c>
      <c r="G1" s="29" t="s">
        <v>36</v>
      </c>
      <c r="H1" s="29" t="s">
        <v>37</v>
      </c>
      <c r="I1" s="29" t="s">
        <v>38</v>
      </c>
      <c r="J1" s="29" t="s">
        <v>39</v>
      </c>
    </row>
    <row r="2">
      <c r="A2" s="30"/>
      <c r="B2" s="13">
        <v>0.0</v>
      </c>
      <c r="C2" s="12">
        <v>0.1</v>
      </c>
      <c r="D2" s="13">
        <v>0.0</v>
      </c>
      <c r="E2" s="13">
        <v>0.0</v>
      </c>
      <c r="F2" s="13">
        <v>0.0</v>
      </c>
      <c r="G2" s="13">
        <v>0.0</v>
      </c>
      <c r="H2" s="12">
        <v>0.0</v>
      </c>
      <c r="I2" s="13">
        <v>0.0</v>
      </c>
      <c r="J2" s="15">
        <v>0.0</v>
      </c>
    </row>
    <row r="3">
      <c r="A3" s="30"/>
      <c r="B3" s="13">
        <v>0.0</v>
      </c>
      <c r="C3" s="13">
        <v>0.1</v>
      </c>
      <c r="D3" s="13">
        <v>0.0</v>
      </c>
      <c r="E3" s="13">
        <v>0.0</v>
      </c>
      <c r="F3" s="13">
        <v>0.0</v>
      </c>
      <c r="G3" s="13">
        <v>0.0</v>
      </c>
      <c r="H3" s="13">
        <v>0.0</v>
      </c>
      <c r="I3" s="13">
        <v>0.0</v>
      </c>
      <c r="J3" s="15">
        <v>0.0</v>
      </c>
    </row>
    <row r="4">
      <c r="A4" s="30"/>
      <c r="B4" s="13">
        <v>0.0</v>
      </c>
      <c r="C4" s="13">
        <v>0.5</v>
      </c>
      <c r="D4" s="13">
        <v>0.0</v>
      </c>
      <c r="E4" s="13">
        <v>0.0</v>
      </c>
      <c r="F4" s="13">
        <v>0.0</v>
      </c>
      <c r="G4" s="13">
        <v>0.0</v>
      </c>
      <c r="H4" s="13">
        <v>0.0</v>
      </c>
      <c r="I4" s="13">
        <v>0.0</v>
      </c>
      <c r="J4" s="15">
        <v>0.0</v>
      </c>
    </row>
    <row r="5">
      <c r="A5" s="30"/>
      <c r="B5" s="13">
        <v>0.0</v>
      </c>
      <c r="C5" s="13">
        <v>0.0</v>
      </c>
      <c r="D5" s="13">
        <v>0.0</v>
      </c>
      <c r="E5" s="13">
        <v>0.0</v>
      </c>
      <c r="F5" s="13">
        <v>0.0</v>
      </c>
      <c r="G5" s="13">
        <v>0.0</v>
      </c>
      <c r="H5" s="13">
        <v>0.0</v>
      </c>
      <c r="I5" s="13">
        <v>0.0</v>
      </c>
      <c r="J5" s="15">
        <v>0.0</v>
      </c>
    </row>
    <row r="6">
      <c r="A6" s="30"/>
      <c r="B6" s="13">
        <v>0.0</v>
      </c>
      <c r="C6" s="13">
        <v>1.0</v>
      </c>
      <c r="D6" s="13">
        <v>0.0</v>
      </c>
      <c r="E6" s="13">
        <v>0.0</v>
      </c>
      <c r="F6" s="13">
        <v>0.0</v>
      </c>
      <c r="G6" s="13">
        <v>0.0</v>
      </c>
      <c r="H6" s="13">
        <v>0.0</v>
      </c>
      <c r="I6" s="13">
        <v>0.0</v>
      </c>
      <c r="J6" s="15">
        <v>0.0</v>
      </c>
    </row>
    <row r="7">
      <c r="A7" s="30"/>
      <c r="B7" s="13">
        <v>0.0</v>
      </c>
      <c r="C7" s="13">
        <v>0.5</v>
      </c>
      <c r="D7" s="13">
        <v>0.0</v>
      </c>
      <c r="E7" s="13">
        <v>0.0</v>
      </c>
      <c r="F7" s="13">
        <v>0.0</v>
      </c>
      <c r="G7" s="13">
        <v>0.0</v>
      </c>
      <c r="H7" s="13">
        <v>0.0</v>
      </c>
      <c r="I7" s="13">
        <v>0.0</v>
      </c>
      <c r="J7" s="15">
        <v>0.0</v>
      </c>
    </row>
    <row r="8">
      <c r="A8" s="30"/>
      <c r="B8" s="13">
        <v>50.0</v>
      </c>
      <c r="C8" s="13">
        <v>1.0</v>
      </c>
      <c r="D8" s="13">
        <v>0.0</v>
      </c>
      <c r="E8" s="13">
        <v>0.0</v>
      </c>
      <c r="F8" s="13">
        <v>0.0</v>
      </c>
      <c r="G8" s="13">
        <v>0.0</v>
      </c>
      <c r="H8" s="13">
        <v>0.0</v>
      </c>
      <c r="I8" s="13">
        <v>0.0</v>
      </c>
      <c r="J8" s="15">
        <v>0.0</v>
      </c>
    </row>
    <row r="9">
      <c r="A9" s="30"/>
      <c r="B9" s="13">
        <v>0.0</v>
      </c>
      <c r="C9" s="13">
        <v>0.0</v>
      </c>
      <c r="D9" s="13">
        <v>0.0</v>
      </c>
      <c r="E9" s="13">
        <v>0.0</v>
      </c>
      <c r="F9" s="13">
        <v>0.0</v>
      </c>
      <c r="G9" s="13">
        <v>0.0</v>
      </c>
      <c r="H9" s="13">
        <v>0.0</v>
      </c>
      <c r="I9" s="13">
        <v>0.0</v>
      </c>
      <c r="J9" s="15">
        <v>0.0</v>
      </c>
    </row>
    <row r="10">
      <c r="A10" s="30"/>
      <c r="B10" s="13">
        <v>0.0</v>
      </c>
      <c r="C10" s="13">
        <v>0.1</v>
      </c>
      <c r="D10" s="13">
        <v>0.0</v>
      </c>
      <c r="E10" s="13">
        <v>0.0</v>
      </c>
      <c r="F10" s="13">
        <v>0.0</v>
      </c>
      <c r="G10" s="13">
        <v>0.0</v>
      </c>
      <c r="H10" s="13">
        <v>0.0</v>
      </c>
      <c r="I10" s="13">
        <v>0.0</v>
      </c>
      <c r="J10" s="15">
        <v>0.0</v>
      </c>
    </row>
    <row r="11">
      <c r="A11" s="30"/>
      <c r="B11" s="13">
        <v>1.0</v>
      </c>
      <c r="C11" s="13">
        <v>0.0</v>
      </c>
      <c r="D11" s="13">
        <v>0.0</v>
      </c>
      <c r="E11" s="13">
        <v>0.0</v>
      </c>
      <c r="F11" s="13">
        <v>0.0</v>
      </c>
      <c r="G11" s="13">
        <v>0.0</v>
      </c>
      <c r="H11" s="13">
        <v>0.0</v>
      </c>
      <c r="I11" s="13">
        <v>0.0</v>
      </c>
      <c r="J11" s="15">
        <v>0.0</v>
      </c>
    </row>
    <row r="12">
      <c r="A12" s="30"/>
      <c r="B12" s="13">
        <v>0.0</v>
      </c>
      <c r="C12" s="13">
        <v>1.0</v>
      </c>
      <c r="D12" s="13">
        <v>0.0</v>
      </c>
      <c r="E12" s="13">
        <v>0.0</v>
      </c>
      <c r="F12" s="13">
        <v>0.0</v>
      </c>
      <c r="G12" s="13">
        <v>0.0</v>
      </c>
      <c r="H12" s="13">
        <v>0.0</v>
      </c>
      <c r="I12" s="13">
        <v>0.0</v>
      </c>
      <c r="J12" s="15">
        <v>0.0</v>
      </c>
    </row>
    <row r="13">
      <c r="A13" s="30"/>
      <c r="B13" s="13">
        <v>0.0</v>
      </c>
      <c r="C13" s="13">
        <v>0.0</v>
      </c>
      <c r="D13" s="13">
        <v>0.0</v>
      </c>
      <c r="E13" s="13">
        <v>0.0</v>
      </c>
      <c r="F13" s="13">
        <v>0.0</v>
      </c>
      <c r="G13" s="13">
        <v>0.0</v>
      </c>
      <c r="H13" s="13">
        <v>0.0</v>
      </c>
      <c r="I13" s="13">
        <v>0.0</v>
      </c>
      <c r="J13" s="15">
        <v>0.0</v>
      </c>
    </row>
    <row r="14">
      <c r="A14" s="30"/>
      <c r="B14" s="13">
        <v>0.0</v>
      </c>
      <c r="C14" s="13">
        <v>0.5</v>
      </c>
      <c r="D14" s="13">
        <v>0.0</v>
      </c>
      <c r="E14" s="13">
        <v>0.0</v>
      </c>
      <c r="F14" s="13">
        <v>0.0</v>
      </c>
      <c r="G14" s="13">
        <v>0.0</v>
      </c>
      <c r="H14" s="13">
        <v>0.0</v>
      </c>
      <c r="I14" s="13">
        <v>0.0</v>
      </c>
      <c r="J14" s="15">
        <v>0.0</v>
      </c>
    </row>
    <row r="15">
      <c r="A15" s="30"/>
      <c r="B15" s="13">
        <v>0.0</v>
      </c>
      <c r="C15" s="13">
        <v>2.0</v>
      </c>
      <c r="D15" s="13">
        <v>0.0</v>
      </c>
      <c r="E15" s="13">
        <v>0.0</v>
      </c>
      <c r="F15" s="13">
        <v>0.0</v>
      </c>
      <c r="G15" s="13">
        <v>0.0</v>
      </c>
      <c r="H15" s="13">
        <v>0.0</v>
      </c>
      <c r="I15" s="13">
        <v>0.0</v>
      </c>
      <c r="J15" s="15">
        <v>0.0</v>
      </c>
    </row>
    <row r="16">
      <c r="A16" s="30"/>
      <c r="B16" s="13">
        <v>0.0</v>
      </c>
      <c r="C16" s="13">
        <v>0.0</v>
      </c>
      <c r="D16" s="13">
        <v>0.0</v>
      </c>
      <c r="E16" s="13">
        <v>0.0</v>
      </c>
      <c r="F16" s="13">
        <v>0.0</v>
      </c>
      <c r="G16" s="13">
        <v>0.0</v>
      </c>
      <c r="H16" s="13">
        <v>0.0</v>
      </c>
      <c r="I16" s="13">
        <v>0.0</v>
      </c>
      <c r="J16" s="15">
        <v>0.0</v>
      </c>
    </row>
    <row r="17">
      <c r="A17" s="30"/>
      <c r="B17" s="13">
        <v>0.0</v>
      </c>
      <c r="C17" s="13">
        <v>1.0</v>
      </c>
      <c r="D17" s="13">
        <v>0.0</v>
      </c>
      <c r="E17" s="13">
        <v>0.0</v>
      </c>
      <c r="F17" s="13">
        <v>0.0</v>
      </c>
      <c r="G17" s="13">
        <v>0.0</v>
      </c>
      <c r="H17" s="13">
        <v>0.0</v>
      </c>
      <c r="I17" s="13">
        <v>0.0</v>
      </c>
      <c r="J17" s="15">
        <v>0.0</v>
      </c>
    </row>
    <row r="18">
      <c r="A18" s="30"/>
      <c r="B18" s="13">
        <v>0.0</v>
      </c>
      <c r="C18" s="13">
        <v>0.0</v>
      </c>
      <c r="D18" s="13">
        <v>0.0</v>
      </c>
      <c r="E18" s="13">
        <v>0.0</v>
      </c>
      <c r="F18" s="13">
        <v>0.0</v>
      </c>
      <c r="G18" s="13">
        <v>0.0</v>
      </c>
      <c r="H18" s="13">
        <v>0.0</v>
      </c>
      <c r="I18" s="13">
        <v>0.0</v>
      </c>
      <c r="J18" s="15">
        <v>0.0</v>
      </c>
    </row>
    <row r="19">
      <c r="A19" s="30"/>
      <c r="B19" s="13">
        <v>0.0</v>
      </c>
      <c r="C19" s="13">
        <v>0.1</v>
      </c>
      <c r="D19" s="13">
        <v>0.0</v>
      </c>
      <c r="E19" s="13">
        <v>0.0</v>
      </c>
      <c r="F19" s="13">
        <v>0.0</v>
      </c>
      <c r="G19" s="13">
        <v>0.0</v>
      </c>
      <c r="H19" s="13">
        <v>0.0</v>
      </c>
      <c r="I19" s="13">
        <v>0.0</v>
      </c>
      <c r="J19" s="15">
        <v>1.0</v>
      </c>
    </row>
    <row r="20">
      <c r="A20" s="30"/>
      <c r="B20" s="13">
        <v>0.0</v>
      </c>
      <c r="C20" s="13">
        <v>1.0</v>
      </c>
      <c r="D20" s="13">
        <v>0.0</v>
      </c>
      <c r="E20" s="13">
        <v>0.0</v>
      </c>
      <c r="F20" s="13">
        <v>0.0</v>
      </c>
      <c r="G20" s="13">
        <v>0.0</v>
      </c>
      <c r="H20" s="13">
        <v>0.0</v>
      </c>
      <c r="I20" s="13">
        <v>0.0</v>
      </c>
      <c r="J20" s="15">
        <v>0.0</v>
      </c>
    </row>
    <row r="21">
      <c r="A21" s="30"/>
      <c r="B21" s="13">
        <v>0.0</v>
      </c>
      <c r="C21" s="13">
        <v>0.0</v>
      </c>
      <c r="D21" s="13">
        <v>0.0</v>
      </c>
      <c r="E21" s="13">
        <v>0.0</v>
      </c>
      <c r="F21" s="13">
        <v>0.0</v>
      </c>
      <c r="G21" s="13">
        <v>0.0</v>
      </c>
      <c r="H21" s="13">
        <v>0.0</v>
      </c>
      <c r="I21" s="13">
        <v>0.0</v>
      </c>
      <c r="J21" s="15">
        <v>0.0</v>
      </c>
    </row>
    <row r="22">
      <c r="A22" s="30"/>
      <c r="B22" s="13">
        <v>0.0</v>
      </c>
      <c r="C22" s="13">
        <v>0.0</v>
      </c>
      <c r="D22" s="13">
        <v>0.0</v>
      </c>
      <c r="E22" s="13">
        <v>0.0</v>
      </c>
      <c r="F22" s="13">
        <v>0.0</v>
      </c>
      <c r="G22" s="13">
        <v>0.0</v>
      </c>
      <c r="H22" s="13">
        <v>0.0</v>
      </c>
      <c r="I22" s="13">
        <v>0.0</v>
      </c>
      <c r="J22" s="15">
        <v>0.0</v>
      </c>
    </row>
    <row r="23">
      <c r="A23" s="30"/>
      <c r="B23" s="13">
        <v>0.0</v>
      </c>
      <c r="C23" s="13">
        <v>0.0</v>
      </c>
      <c r="D23" s="13">
        <v>0.0</v>
      </c>
      <c r="E23" s="13">
        <v>0.0</v>
      </c>
      <c r="F23" s="13">
        <v>0.0</v>
      </c>
      <c r="G23" s="13">
        <v>0.0</v>
      </c>
      <c r="H23" s="13">
        <v>0.0</v>
      </c>
      <c r="I23" s="13">
        <v>0.0</v>
      </c>
      <c r="J23" s="15">
        <v>0.0</v>
      </c>
    </row>
    <row r="24">
      <c r="A24" s="30"/>
      <c r="B24" s="13">
        <v>0.0</v>
      </c>
      <c r="C24" s="13">
        <v>0.0</v>
      </c>
      <c r="D24" s="13">
        <v>0.0</v>
      </c>
      <c r="E24" s="13">
        <v>0.0</v>
      </c>
      <c r="F24" s="13">
        <v>0.0</v>
      </c>
      <c r="G24" s="13">
        <v>0.0</v>
      </c>
      <c r="H24" s="13">
        <v>0.0</v>
      </c>
      <c r="I24" s="13">
        <v>0.0</v>
      </c>
      <c r="J24" s="15">
        <v>0.0</v>
      </c>
    </row>
    <row r="25">
      <c r="A25" s="30"/>
      <c r="B25" s="13">
        <v>0.0</v>
      </c>
      <c r="C25" s="13">
        <v>0.0</v>
      </c>
      <c r="D25" s="13">
        <v>0.0</v>
      </c>
      <c r="E25" s="13">
        <v>0.0</v>
      </c>
      <c r="F25" s="13">
        <v>0.0</v>
      </c>
      <c r="G25" s="13">
        <v>0.0</v>
      </c>
      <c r="H25" s="13">
        <v>0.0</v>
      </c>
      <c r="I25" s="13">
        <v>0.0</v>
      </c>
      <c r="J25" s="15">
        <v>0.0</v>
      </c>
    </row>
    <row r="26">
      <c r="A26" s="30"/>
      <c r="B26" s="13">
        <v>0.0</v>
      </c>
      <c r="C26" s="13">
        <v>0.0</v>
      </c>
      <c r="D26" s="13">
        <v>0.0</v>
      </c>
      <c r="E26" s="13">
        <v>0.0</v>
      </c>
      <c r="F26" s="13">
        <v>0.0</v>
      </c>
      <c r="G26" s="13">
        <v>0.0</v>
      </c>
      <c r="H26" s="13">
        <v>0.0</v>
      </c>
      <c r="I26" s="13">
        <v>0.0</v>
      </c>
      <c r="J26" s="15">
        <v>0.0</v>
      </c>
    </row>
    <row r="27">
      <c r="A27" s="30"/>
      <c r="B27" s="13">
        <v>0.0</v>
      </c>
      <c r="C27" s="13">
        <v>0.0</v>
      </c>
      <c r="D27" s="13">
        <v>0.0</v>
      </c>
      <c r="E27" s="13">
        <v>0.0</v>
      </c>
      <c r="F27" s="13">
        <v>0.0</v>
      </c>
      <c r="G27" s="13">
        <v>0.0</v>
      </c>
      <c r="H27" s="13">
        <v>1.0</v>
      </c>
      <c r="I27" s="13">
        <v>0.0</v>
      </c>
      <c r="J27" s="15">
        <v>0.0</v>
      </c>
    </row>
    <row r="28">
      <c r="A28" s="30"/>
      <c r="B28" s="13">
        <v>0.0</v>
      </c>
      <c r="C28" s="13">
        <v>0.0</v>
      </c>
      <c r="D28" s="13">
        <v>0.0</v>
      </c>
      <c r="E28" s="13">
        <v>0.0</v>
      </c>
      <c r="F28" s="13">
        <v>0.0</v>
      </c>
      <c r="G28" s="13">
        <v>0.0</v>
      </c>
      <c r="H28" s="13">
        <v>0.0</v>
      </c>
      <c r="I28" s="13">
        <v>0.0</v>
      </c>
      <c r="J28" s="15">
        <v>0.0</v>
      </c>
    </row>
    <row r="29">
      <c r="A29" s="30"/>
      <c r="B29" s="13">
        <v>0.0</v>
      </c>
      <c r="C29" s="13">
        <v>0.0</v>
      </c>
      <c r="D29" s="13">
        <v>1.0</v>
      </c>
      <c r="E29" s="13">
        <v>0.0</v>
      </c>
      <c r="F29" s="13">
        <v>0.0</v>
      </c>
      <c r="G29" s="13">
        <v>0.0</v>
      </c>
      <c r="H29" s="13">
        <v>0.0</v>
      </c>
      <c r="I29" s="13">
        <v>0.0</v>
      </c>
      <c r="J29" s="15">
        <v>0.0</v>
      </c>
    </row>
    <row r="30">
      <c r="A30" s="30"/>
      <c r="B30" s="13">
        <v>0.0</v>
      </c>
      <c r="C30" s="13">
        <v>0.0</v>
      </c>
      <c r="D30" s="13">
        <v>0.0</v>
      </c>
      <c r="E30" s="13">
        <v>0.0</v>
      </c>
      <c r="F30" s="13">
        <v>0.0</v>
      </c>
      <c r="G30" s="13">
        <v>0.0</v>
      </c>
      <c r="H30" s="13">
        <v>0.0</v>
      </c>
      <c r="I30" s="13">
        <v>0.0</v>
      </c>
      <c r="J30" s="15">
        <v>0.0</v>
      </c>
    </row>
    <row r="31">
      <c r="A31" s="30"/>
      <c r="B31" s="13">
        <v>0.0</v>
      </c>
      <c r="C31" s="13">
        <v>0.0</v>
      </c>
      <c r="D31" s="13">
        <v>0.0</v>
      </c>
      <c r="E31" s="13">
        <v>0.0</v>
      </c>
      <c r="F31" s="13">
        <v>0.0</v>
      </c>
      <c r="G31" s="13">
        <v>0.0</v>
      </c>
      <c r="H31" s="13">
        <v>0.0</v>
      </c>
      <c r="I31" s="13">
        <v>0.0</v>
      </c>
      <c r="J31" s="15">
        <v>0.0</v>
      </c>
    </row>
    <row r="32">
      <c r="A32" s="30"/>
      <c r="B32" s="13">
        <v>5.0</v>
      </c>
      <c r="C32" s="13">
        <v>0.0</v>
      </c>
      <c r="D32" s="13">
        <v>0.0</v>
      </c>
      <c r="E32" s="13">
        <v>0.0</v>
      </c>
      <c r="F32" s="13">
        <v>0.0</v>
      </c>
      <c r="G32" s="13">
        <v>0.0</v>
      </c>
      <c r="H32" s="13">
        <v>0.0</v>
      </c>
      <c r="I32" s="13">
        <v>0.0</v>
      </c>
      <c r="J32" s="15">
        <v>0.0</v>
      </c>
    </row>
    <row r="33">
      <c r="A33" s="30"/>
      <c r="B33" s="13">
        <v>0.0</v>
      </c>
      <c r="C33" s="13">
        <v>0.0</v>
      </c>
      <c r="D33" s="13">
        <v>0.0</v>
      </c>
      <c r="E33" s="13">
        <v>0.0</v>
      </c>
      <c r="F33" s="13">
        <v>0.0</v>
      </c>
      <c r="G33" s="13">
        <v>0.0</v>
      </c>
      <c r="H33" s="13">
        <v>0.0</v>
      </c>
      <c r="I33" s="13">
        <v>0.0</v>
      </c>
      <c r="J33" s="15">
        <v>0.0</v>
      </c>
    </row>
    <row r="34">
      <c r="A34" s="30"/>
      <c r="B34" s="13">
        <v>0.0</v>
      </c>
      <c r="C34" s="13">
        <v>0.0</v>
      </c>
      <c r="D34" s="13">
        <v>0.0</v>
      </c>
      <c r="E34" s="13">
        <v>0.0</v>
      </c>
      <c r="F34" s="13">
        <v>0.0</v>
      </c>
      <c r="G34" s="13">
        <v>0.0</v>
      </c>
      <c r="H34" s="13">
        <v>0.0</v>
      </c>
      <c r="I34" s="13">
        <v>0.0</v>
      </c>
      <c r="J34" s="15">
        <v>0.0</v>
      </c>
    </row>
    <row r="35">
      <c r="A35" s="30"/>
      <c r="B35" s="13">
        <v>0.0</v>
      </c>
      <c r="C35" s="13">
        <v>0.0</v>
      </c>
      <c r="D35" s="13">
        <v>0.0</v>
      </c>
      <c r="E35" s="13">
        <v>0.0</v>
      </c>
      <c r="F35" s="13">
        <v>0.0</v>
      </c>
      <c r="G35" s="13">
        <v>0.0</v>
      </c>
      <c r="H35" s="13">
        <v>0.0</v>
      </c>
      <c r="I35" s="13">
        <v>0.0</v>
      </c>
      <c r="J35" s="15">
        <v>0.0</v>
      </c>
    </row>
    <row r="36">
      <c r="A36" s="30"/>
      <c r="B36" s="13">
        <v>0.0</v>
      </c>
      <c r="C36" s="13">
        <v>0.1</v>
      </c>
      <c r="D36" s="13">
        <v>0.0</v>
      </c>
      <c r="E36" s="13">
        <v>0.0</v>
      </c>
      <c r="F36" s="13">
        <v>0.0</v>
      </c>
      <c r="G36" s="13">
        <v>0.0</v>
      </c>
      <c r="H36" s="13">
        <v>0.0</v>
      </c>
      <c r="I36" s="13">
        <v>0.0</v>
      </c>
      <c r="J36" s="15">
        <v>0.0</v>
      </c>
    </row>
    <row r="37">
      <c r="A37" s="30"/>
      <c r="B37" s="13">
        <v>0.0</v>
      </c>
      <c r="C37" s="13">
        <v>0.0</v>
      </c>
      <c r="D37" s="13">
        <v>0.0</v>
      </c>
      <c r="E37" s="13">
        <v>0.0</v>
      </c>
      <c r="F37" s="13">
        <v>0.0</v>
      </c>
      <c r="G37" s="13">
        <v>0.0</v>
      </c>
      <c r="H37" s="13">
        <v>0.0</v>
      </c>
      <c r="I37" s="13">
        <v>0.0</v>
      </c>
      <c r="J37" s="15">
        <v>0.0</v>
      </c>
    </row>
    <row r="38">
      <c r="A38" s="29" t="s">
        <v>40</v>
      </c>
      <c r="B38" s="32">
        <f t="shared" ref="B38:J38" si="1">AVERAGE(B2:B37)</f>
        <v>1.555555556</v>
      </c>
      <c r="C38" s="32">
        <f t="shared" si="1"/>
        <v>0.25</v>
      </c>
      <c r="D38" s="32">
        <f t="shared" si="1"/>
        <v>0.02777777778</v>
      </c>
      <c r="E38" s="32">
        <f t="shared" si="1"/>
        <v>0</v>
      </c>
      <c r="F38" s="32">
        <f t="shared" si="1"/>
        <v>0</v>
      </c>
      <c r="G38" s="32">
        <f t="shared" si="1"/>
        <v>0</v>
      </c>
      <c r="H38" s="32">
        <f t="shared" si="1"/>
        <v>0.02777777778</v>
      </c>
      <c r="I38" s="32">
        <f t="shared" si="1"/>
        <v>0</v>
      </c>
      <c r="J38" s="32">
        <f t="shared" si="1"/>
        <v>0.02777777778</v>
      </c>
    </row>
    <row r="39">
      <c r="A39" s="29" t="s">
        <v>41</v>
      </c>
      <c r="B39" s="32">
        <f>stdev(B2:B37)</f>
        <v>8.347606824</v>
      </c>
      <c r="C39" s="32">
        <f t="shared" ref="C39:J39" si="2">STDEV(C2:C37)</f>
        <v>0.4644505202</v>
      </c>
      <c r="D39" s="32">
        <f t="shared" si="2"/>
        <v>0.1666666667</v>
      </c>
      <c r="E39" s="32">
        <f t="shared" si="2"/>
        <v>0</v>
      </c>
      <c r="F39" s="32">
        <f t="shared" si="2"/>
        <v>0</v>
      </c>
      <c r="G39" s="32">
        <f t="shared" si="2"/>
        <v>0</v>
      </c>
      <c r="H39" s="32">
        <f t="shared" si="2"/>
        <v>0.1666666667</v>
      </c>
      <c r="I39" s="32">
        <f t="shared" si="2"/>
        <v>0</v>
      </c>
      <c r="J39" s="32">
        <f t="shared" si="2"/>
        <v>0.1666666667</v>
      </c>
    </row>
    <row r="40">
      <c r="A40" s="29" t="s">
        <v>42</v>
      </c>
      <c r="B40" s="32">
        <f t="shared" ref="B40:J40" si="3">B39/sqrt(36)</f>
        <v>1.391267804</v>
      </c>
      <c r="C40" s="32">
        <f t="shared" si="3"/>
        <v>0.07740842003</v>
      </c>
      <c r="D40" s="32">
        <f t="shared" si="3"/>
        <v>0.02777777778</v>
      </c>
      <c r="E40" s="32">
        <f t="shared" si="3"/>
        <v>0</v>
      </c>
      <c r="F40" s="32">
        <f t="shared" si="3"/>
        <v>0</v>
      </c>
      <c r="G40" s="32">
        <f t="shared" si="3"/>
        <v>0</v>
      </c>
      <c r="H40" s="32">
        <f t="shared" si="3"/>
        <v>0.02777777778</v>
      </c>
      <c r="I40" s="32">
        <f t="shared" si="3"/>
        <v>0</v>
      </c>
      <c r="J40" s="32">
        <f t="shared" si="3"/>
        <v>0.02777777778</v>
      </c>
    </row>
    <row r="41">
      <c r="A41" s="29" t="s">
        <v>43</v>
      </c>
      <c r="B41" s="32">
        <f>36</f>
        <v>36</v>
      </c>
      <c r="C41" s="32">
        <v>36.0</v>
      </c>
      <c r="D41" s="32">
        <f t="shared" ref="D41:J41" si="4">36</f>
        <v>36</v>
      </c>
      <c r="E41" s="32">
        <f t="shared" si="4"/>
        <v>36</v>
      </c>
      <c r="F41" s="32">
        <f t="shared" si="4"/>
        <v>36</v>
      </c>
      <c r="G41" s="32">
        <f t="shared" si="4"/>
        <v>36</v>
      </c>
      <c r="H41" s="32">
        <f t="shared" si="4"/>
        <v>36</v>
      </c>
      <c r="I41" s="32">
        <f t="shared" si="4"/>
        <v>36</v>
      </c>
      <c r="J41" s="32">
        <f t="shared" si="4"/>
        <v>36</v>
      </c>
    </row>
    <row r="42">
      <c r="A42" s="30"/>
      <c r="B42" s="30"/>
      <c r="C42" s="30"/>
      <c r="D42" s="30"/>
      <c r="E42" s="30"/>
      <c r="F42" s="30"/>
      <c r="G42" s="30"/>
      <c r="H42" s="30"/>
      <c r="I42" s="30"/>
      <c r="J42" s="30"/>
    </row>
    <row r="43">
      <c r="A43" s="30"/>
      <c r="B43" s="30"/>
      <c r="C43" s="30"/>
      <c r="D43" s="30"/>
      <c r="E43" s="30"/>
      <c r="F43" s="30"/>
      <c r="G43" s="30"/>
      <c r="H43" s="30"/>
      <c r="I43" s="30"/>
      <c r="J43" s="30"/>
    </row>
    <row r="44">
      <c r="A44" s="30"/>
      <c r="B44" s="30"/>
      <c r="C44" s="30"/>
      <c r="D44" s="30"/>
      <c r="E44" s="30"/>
      <c r="F44" s="30"/>
      <c r="G44" s="30"/>
      <c r="H44" s="30"/>
      <c r="I44" s="30"/>
      <c r="J44" s="30"/>
    </row>
    <row r="45">
      <c r="A45" s="30"/>
      <c r="B45" s="30"/>
      <c r="C45" s="30"/>
      <c r="D45" s="30"/>
      <c r="E45" s="30"/>
      <c r="F45" s="30"/>
      <c r="G45" s="30"/>
      <c r="H45" s="30"/>
      <c r="I45" s="30"/>
      <c r="J45" s="30"/>
    </row>
    <row r="46">
      <c r="A46" s="30"/>
      <c r="B46" s="30"/>
      <c r="C46" s="30"/>
      <c r="D46" s="30"/>
      <c r="E46" s="30"/>
      <c r="F46" s="30"/>
      <c r="G46" s="30"/>
      <c r="H46" s="30"/>
      <c r="I46" s="30"/>
      <c r="J46" s="30"/>
    </row>
    <row r="47">
      <c r="A47" s="30"/>
      <c r="B47" s="30"/>
      <c r="C47" s="30"/>
      <c r="D47" s="30"/>
      <c r="E47" s="30"/>
      <c r="F47" s="30"/>
      <c r="G47" s="30"/>
      <c r="H47" s="30"/>
      <c r="I47" s="30"/>
      <c r="J47" s="30"/>
    </row>
    <row r="48">
      <c r="A48" s="30"/>
      <c r="B48" s="30"/>
      <c r="C48" s="30"/>
      <c r="D48" s="30"/>
      <c r="E48" s="30"/>
      <c r="F48" s="30"/>
      <c r="G48" s="30"/>
      <c r="H48" s="30"/>
      <c r="I48" s="30"/>
      <c r="J48" s="30"/>
    </row>
    <row r="49">
      <c r="A49" s="30"/>
      <c r="B49" s="30"/>
      <c r="C49" s="30"/>
      <c r="D49" s="30"/>
      <c r="E49" s="30"/>
      <c r="F49" s="30"/>
      <c r="G49" s="30"/>
      <c r="H49" s="30"/>
      <c r="I49" s="30"/>
      <c r="J49"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3" t="s">
        <v>44</v>
      </c>
    </row>
    <row r="2" ht="39.75" customHeight="1">
      <c r="A2" s="12" t="s">
        <v>0</v>
      </c>
      <c r="B2" s="34" t="s">
        <v>45</v>
      </c>
    </row>
    <row r="3" ht="39.75" customHeight="1">
      <c r="A3" s="12" t="s">
        <v>1</v>
      </c>
      <c r="B3" s="34" t="s">
        <v>46</v>
      </c>
    </row>
    <row r="4" ht="39.75" customHeight="1">
      <c r="A4" s="35" t="s">
        <v>2</v>
      </c>
      <c r="B4" s="34" t="s">
        <v>47</v>
      </c>
    </row>
    <row r="5" ht="39.75" customHeight="1">
      <c r="A5" s="12" t="s">
        <v>3</v>
      </c>
      <c r="B5" s="34" t="s">
        <v>48</v>
      </c>
    </row>
    <row r="6" ht="39.75" customHeight="1">
      <c r="A6" s="35" t="s">
        <v>49</v>
      </c>
      <c r="B6" s="34" t="s">
        <v>50</v>
      </c>
    </row>
    <row r="7" ht="39.75" customHeight="1">
      <c r="A7" s="12" t="s">
        <v>51</v>
      </c>
      <c r="B7" s="36" t="s">
        <v>52</v>
      </c>
    </row>
    <row r="8" ht="39.75" customHeight="1">
      <c r="A8" s="12" t="s">
        <v>53</v>
      </c>
      <c r="B8" s="36" t="s">
        <v>54</v>
      </c>
    </row>
    <row r="9" ht="39.75" customHeight="1">
      <c r="A9" s="12" t="s">
        <v>7</v>
      </c>
      <c r="B9" s="36" t="s">
        <v>55</v>
      </c>
    </row>
    <row r="10" ht="39.75" customHeight="1">
      <c r="A10" s="12" t="s">
        <v>8</v>
      </c>
      <c r="B10" s="36" t="s">
        <v>56</v>
      </c>
    </row>
    <row r="11" ht="39.75" customHeight="1">
      <c r="A11" s="12" t="s">
        <v>9</v>
      </c>
      <c r="B11" s="36" t="s">
        <v>57</v>
      </c>
    </row>
    <row r="12" ht="39.75" customHeight="1">
      <c r="A12" s="12" t="s">
        <v>10</v>
      </c>
      <c r="B12" s="37" t="s">
        <v>58</v>
      </c>
    </row>
    <row r="13" ht="39.75" customHeight="1">
      <c r="A13" s="12" t="s">
        <v>11</v>
      </c>
      <c r="B13" s="36" t="s">
        <v>59</v>
      </c>
    </row>
    <row r="14" ht="39.75" customHeight="1">
      <c r="A14" s="12" t="s">
        <v>12</v>
      </c>
      <c r="B14" s="36" t="s">
        <v>60</v>
      </c>
    </row>
    <row r="15" ht="39.75" customHeight="1">
      <c r="A15" s="12" t="s">
        <v>13</v>
      </c>
      <c r="B15" s="36" t="s">
        <v>61</v>
      </c>
    </row>
    <row r="16" ht="39.75" customHeight="1">
      <c r="A16" s="35" t="s">
        <v>14</v>
      </c>
      <c r="B16" s="34" t="s">
        <v>62</v>
      </c>
    </row>
    <row r="17" ht="39.75" customHeight="1">
      <c r="A17" s="35" t="s">
        <v>63</v>
      </c>
      <c r="B17" s="34" t="s">
        <v>64</v>
      </c>
    </row>
    <row r="18" ht="39.75" customHeight="1">
      <c r="A18" s="35" t="s">
        <v>16</v>
      </c>
      <c r="B18" s="34" t="s">
        <v>65</v>
      </c>
    </row>
    <row r="19" ht="39.75" customHeight="1">
      <c r="A19" s="35" t="s">
        <v>17</v>
      </c>
      <c r="B19" s="34" t="s">
        <v>66</v>
      </c>
    </row>
    <row r="20" ht="39.75" customHeight="1">
      <c r="A20" s="35" t="s">
        <v>18</v>
      </c>
      <c r="B20" s="34" t="s">
        <v>67</v>
      </c>
    </row>
    <row r="21" ht="39.75" customHeight="1">
      <c r="A21" s="35" t="s">
        <v>19</v>
      </c>
      <c r="B21" s="34" t="s">
        <v>68</v>
      </c>
    </row>
    <row r="22" ht="39.75" customHeight="1">
      <c r="A22" s="35" t="s">
        <v>20</v>
      </c>
      <c r="B22" s="34" t="s">
        <v>69</v>
      </c>
    </row>
    <row r="23" ht="39.75" customHeight="1">
      <c r="A23" s="35" t="s">
        <v>70</v>
      </c>
      <c r="B23" s="34" t="s">
        <v>71</v>
      </c>
    </row>
    <row r="24" ht="39.75" customHeight="1">
      <c r="A24" s="35" t="s">
        <v>22</v>
      </c>
      <c r="B24" s="34" t="s">
        <v>72</v>
      </c>
    </row>
    <row r="25" ht="39.75" customHeight="1">
      <c r="A25" s="35" t="s">
        <v>23</v>
      </c>
      <c r="B25" s="38" t="s">
        <v>73</v>
      </c>
    </row>
    <row r="26" ht="39.75" customHeight="1">
      <c r="A26" s="35" t="s">
        <v>24</v>
      </c>
      <c r="B26" s="37" t="s">
        <v>74</v>
      </c>
    </row>
    <row r="27" ht="39.75" customHeight="1">
      <c r="A27" s="35" t="s">
        <v>25</v>
      </c>
      <c r="B27" s="34" t="s">
        <v>75</v>
      </c>
    </row>
    <row r="28" ht="39.75" customHeight="1">
      <c r="A28" s="35" t="s">
        <v>26</v>
      </c>
      <c r="B28" s="34" t="s">
        <v>76</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